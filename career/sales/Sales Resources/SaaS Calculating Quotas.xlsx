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<sst xmlns="http://schemas.openxmlformats.org/spreadsheetml/2006/main" count="34" uniqueCount="32">
  <si>
    <t>GTM Pod Math</t>
  </si>
  <si>
    <t>Description:</t>
  </si>
  <si>
    <t>Below is a simple model for understanding the true profit of a GTM pod (fundamental unit) where the AE is at the center and shows all the other supporting functions costs on a per AE basis.</t>
  </si>
  <si>
    <t>Inputs:</t>
  </si>
  <si>
    <t>100% Attainment Scenario:</t>
  </si>
  <si>
    <t>Scenario Modeling</t>
  </si>
  <si>
    <t>Account Executive (AE) OTE</t>
  </si>
  <si>
    <t>New ARR Quota</t>
  </si>
  <si>
    <t>Actual Attainment</t>
  </si>
  <si>
    <t>Quota:OTE Ratio</t>
  </si>
  <si>
    <t>GTM Pod Unit LTV Creation</t>
  </si>
  <si>
    <t>Gross Margin</t>
  </si>
  <si>
    <t>GTM Pod Customer Lifetime Spend</t>
  </si>
  <si>
    <t>Annual Gross Dollar Churn Rate</t>
  </si>
  <si>
    <t>GTM Pod LTV:CAC Ratio</t>
  </si>
  <si>
    <t>Actual GTM Pod LTV:CAC Ratio</t>
  </si>
  <si>
    <t>Net Revenue Retention</t>
  </si>
  <si>
    <t>Sample GTM Pod Build Out</t>
  </si>
  <si>
    <t>Ratios Per AE</t>
  </si>
  <si>
    <t>OTE</t>
  </si>
  <si>
    <t>Burden Rate</t>
  </si>
  <si>
    <t>Fully Burdened Spend</t>
  </si>
  <si>
    <t>AE</t>
  </si>
  <si>
    <t>Sales Manager : AE</t>
  </si>
  <si>
    <t>SDR : AE</t>
  </si>
  <si>
    <t>Sales Engineer : AE</t>
  </si>
  <si>
    <t>Customer Success</t>
  </si>
  <si>
    <t>Account Manager</t>
  </si>
  <si>
    <t>Marketing Spend Allocation</t>
  </si>
  <si>
    <t>Software Spend Allocation</t>
  </si>
  <si>
    <t>Miscellaneous (IT, Overheard, Facilities)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</si>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</sst>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00"/>
  </numFmts>
  <fonts count="8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color rgb="FF4472C4"/>
      <name val="Arial"/>
    </font>
    <font>
      <sz val="11.0"/>
      <color rgb="FF4285F4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top" wrapText="1"/>
    </xf>
    <xf borderId="0" fillId="2" fontId="3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2" fontId="2" numFmtId="3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0" fontId="5" numFmtId="3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 vertical="bottom"/>
    </xf>
    <xf borderId="0" fillId="0" fontId="2" numFmtId="4" xfId="0" applyAlignment="1" applyFont="1" applyNumberFormat="1">
      <alignment vertical="bottom"/>
    </xf>
    <xf borderId="0" fillId="0" fontId="6" numFmtId="9" xfId="0" applyAlignment="1" applyFont="1" applyNumberFormat="1">
      <alignment readingOrder="0" vertical="bottom"/>
    </xf>
    <xf borderId="1" fillId="3" fontId="5" numFmtId="4" xfId="0" applyAlignment="1" applyBorder="1" applyFill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3" xfId="0" applyAlignment="1" applyFont="1" applyNumberFormat="1">
      <alignment vertical="bottom"/>
    </xf>
    <xf borderId="0" fillId="0" fontId="5" numFmtId="9" xfId="0" applyAlignment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1" fillId="4" fontId="7" numFmtId="4" xfId="0" applyAlignment="1" applyBorder="1" applyFill="1" applyFont="1" applyNumberFormat="1">
      <alignment vertical="bottom"/>
    </xf>
    <xf borderId="0" fillId="0" fontId="2" numFmtId="0" xfId="0" applyAlignment="1" applyFont="1">
      <alignment readingOrder="0" vertical="bottom"/>
    </xf>
    <xf borderId="2" fillId="0" fontId="3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5" fontId="3" numFmtId="0" xfId="0" applyAlignment="1" applyFill="1" applyFont="1">
      <alignment horizontal="center" readingOrder="0" vertical="bottom"/>
    </xf>
    <xf borderId="0" fillId="5" fontId="3" numFmtId="0" xfId="0" applyAlignment="1" applyFont="1">
      <alignment horizontal="center" vertical="bottom"/>
    </xf>
    <xf borderId="6" fillId="5" fontId="3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3" xfId="0" applyAlignment="1" applyFont="1" applyNumberFormat="1">
      <alignment horizontal="center" readingOrder="0" vertical="bottom"/>
    </xf>
    <xf borderId="0" fillId="0" fontId="5" numFmtId="9" xfId="0" applyAlignment="1" applyFont="1" applyNumberFormat="1">
      <alignment horizontal="center" readingOrder="0" vertical="bottom"/>
    </xf>
    <xf borderId="6" fillId="0" fontId="1" numFmtId="3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3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0" fillId="0" fontId="2" numFmtId="9" xfId="0" applyAlignment="1" applyFont="1" applyNumberFormat="1">
      <alignment horizontal="center" vertical="bottom"/>
    </xf>
    <xf borderId="6" fillId="0" fontId="5" numFmtId="3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vertical="bottom"/>
    </xf>
    <xf borderId="8" fillId="0" fontId="7" numFmtId="0" xfId="0" applyAlignment="1" applyBorder="1" applyFont="1">
      <alignment readingOrder="0" vertical="bottom"/>
    </xf>
    <xf borderId="8" fillId="0" fontId="2" numFmtId="0" xfId="0" applyAlignment="1" applyBorder="1" applyFont="1">
      <alignment horizontal="center" vertical="bottom"/>
    </xf>
    <xf borderId="8" fillId="0" fontId="2" numFmtId="3" xfId="0" applyAlignment="1" applyBorder="1" applyFont="1" applyNumberFormat="1">
      <alignment horizontal="center" vertical="bottom"/>
    </xf>
    <xf borderId="9" fillId="0" fontId="2" numFmtId="3" xfId="0" applyAlignment="1" applyBorder="1" applyFont="1" applyNumberFormat="1">
      <alignment horizontal="center" vertical="bottom"/>
    </xf>
    <xf borderId="0" fillId="0" fontId="2" numFmtId="9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9.88"/>
    <col customWidth="1" min="3" max="3" width="26.13"/>
    <col customWidth="1" min="4" max="4" width="11.5"/>
    <col customWidth="1" min="5" max="5" width="8.13"/>
    <col customWidth="1" min="6" max="6" width="10.38"/>
    <col customWidth="1" min="7" max="7" width="29.13"/>
    <col customWidth="1" min="8" max="8" width="11.63"/>
    <col customWidth="1" min="9" max="9" width="6.75"/>
    <col customWidth="1" min="11" max="11" width="17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1</v>
      </c>
      <c r="C3" s="4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</v>
      </c>
      <c r="C7" s="6"/>
      <c r="D7" s="6"/>
      <c r="E7" s="2"/>
      <c r="F7" s="7" t="s">
        <v>4</v>
      </c>
      <c r="G7" s="6"/>
      <c r="H7" s="8"/>
      <c r="I7" s="2"/>
      <c r="J7" s="7" t="s">
        <v>5</v>
      </c>
      <c r="K7" s="6"/>
      <c r="L7" s="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9" t="s">
        <v>6</v>
      </c>
      <c r="D8" s="10">
        <v>250000.0</v>
      </c>
      <c r="E8" s="2"/>
      <c r="F8" s="2"/>
      <c r="G8" s="11" t="s">
        <v>7</v>
      </c>
      <c r="H8" s="12">
        <f>D9*D8</f>
        <v>1250000</v>
      </c>
      <c r="I8" s="2"/>
      <c r="J8" s="13" t="s">
        <v>8</v>
      </c>
      <c r="K8" s="14"/>
      <c r="L8" s="15">
        <v>0.5</v>
      </c>
      <c r="M8" s="14"/>
      <c r="N8" s="1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11" t="s">
        <v>9</v>
      </c>
      <c r="D9" s="16">
        <v>5.0</v>
      </c>
      <c r="E9" s="2"/>
      <c r="F9" s="2"/>
      <c r="G9" s="17" t="s">
        <v>10</v>
      </c>
      <c r="H9" s="12">
        <f>(H8*D10)/D11+(H8*D12^(1/D11))</f>
        <v>6709627.264</v>
      </c>
      <c r="I9" s="2"/>
      <c r="J9" s="17" t="s">
        <v>10</v>
      </c>
      <c r="K9" s="2"/>
      <c r="L9" s="18">
        <f>(H8*L8*D10)/D11+(H8*L8*D12^(1/D11))</f>
        <v>3354813.632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11" t="s">
        <v>11</v>
      </c>
      <c r="D10" s="19">
        <v>0.6</v>
      </c>
      <c r="E10" s="2"/>
      <c r="F10" s="2"/>
      <c r="G10" s="17" t="s">
        <v>12</v>
      </c>
      <c r="H10" s="12">
        <f>G27</f>
        <v>1613675</v>
      </c>
      <c r="I10" s="2"/>
      <c r="J10" s="17" t="s">
        <v>12</v>
      </c>
      <c r="K10" s="12"/>
      <c r="L10" s="18">
        <f>G27-((1-L8)*G17*0.5)</f>
        <v>1541800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11" t="s">
        <v>13</v>
      </c>
      <c r="D11" s="19">
        <v>0.16</v>
      </c>
      <c r="E11" s="2"/>
      <c r="F11" s="2"/>
      <c r="G11" s="17" t="s">
        <v>14</v>
      </c>
      <c r="H11" s="20">
        <f>H9/H10</f>
        <v>4.157979311</v>
      </c>
      <c r="I11" s="21"/>
      <c r="J11" s="17" t="s">
        <v>15</v>
      </c>
      <c r="K11" s="2"/>
      <c r="L11" s="22">
        <f>L9/L10</f>
        <v>2.175907142</v>
      </c>
      <c r="M11" s="2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9" t="s">
        <v>16</v>
      </c>
      <c r="D12" s="19">
        <v>1.08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4" t="s">
        <v>17</v>
      </c>
      <c r="C15" s="25"/>
      <c r="D15" s="25"/>
      <c r="E15" s="25"/>
      <c r="F15" s="25"/>
      <c r="G15" s="26"/>
      <c r="H15" s="2"/>
      <c r="I15" s="2"/>
      <c r="J15" s="2"/>
      <c r="K15" s="2"/>
      <c r="L15" s="23"/>
      <c r="M15" s="2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/>
      <c r="C16" s="2"/>
      <c r="D16" s="28" t="s">
        <v>18</v>
      </c>
      <c r="E16" s="29" t="s">
        <v>19</v>
      </c>
      <c r="F16" s="29" t="s">
        <v>20</v>
      </c>
      <c r="G16" s="30" t="s">
        <v>21</v>
      </c>
      <c r="H16" s="2"/>
      <c r="I16" s="2"/>
      <c r="J16" s="2"/>
      <c r="K16" s="1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/>
      <c r="C17" s="11" t="s">
        <v>22</v>
      </c>
      <c r="D17" s="31">
        <v>1.0</v>
      </c>
      <c r="E17" s="32">
        <f>D8</f>
        <v>250000</v>
      </c>
      <c r="F17" s="33">
        <v>0.15</v>
      </c>
      <c r="G17" s="34">
        <f t="shared" ref="G17:G22" si="1">(D17*E17)*(1+F17)</f>
        <v>287500</v>
      </c>
      <c r="H17" s="23"/>
      <c r="I17" s="2"/>
      <c r="J17" s="2"/>
      <c r="K17" s="2"/>
      <c r="L17" s="1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/>
      <c r="C18" s="17" t="s">
        <v>23</v>
      </c>
      <c r="D18" s="35">
        <v>0.2</v>
      </c>
      <c r="E18" s="32">
        <v>350000.0</v>
      </c>
      <c r="F18" s="33">
        <v>0.15</v>
      </c>
      <c r="G18" s="34">
        <f t="shared" si="1"/>
        <v>80500</v>
      </c>
      <c r="H18" s="23"/>
      <c r="I18" s="2"/>
      <c r="J18" s="2"/>
      <c r="K18" s="2"/>
      <c r="L18" s="1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/>
      <c r="C19" s="17" t="s">
        <v>24</v>
      </c>
      <c r="D19" s="35">
        <v>1.0</v>
      </c>
      <c r="E19" s="36">
        <v>100000.0</v>
      </c>
      <c r="F19" s="33">
        <v>0.15</v>
      </c>
      <c r="G19" s="34">
        <f t="shared" si="1"/>
        <v>115000</v>
      </c>
      <c r="H19" s="23"/>
      <c r="I19" s="2"/>
      <c r="J19" s="2"/>
      <c r="K19" s="2"/>
      <c r="L19" s="1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/>
      <c r="C20" s="17" t="s">
        <v>25</v>
      </c>
      <c r="D20" s="35">
        <v>1.0</v>
      </c>
      <c r="E20" s="32">
        <v>250000.0</v>
      </c>
      <c r="F20" s="33">
        <v>0.15</v>
      </c>
      <c r="G20" s="34">
        <f t="shared" si="1"/>
        <v>287500</v>
      </c>
      <c r="H20" s="23"/>
      <c r="I20" s="2"/>
      <c r="J20" s="2"/>
      <c r="K20" s="2"/>
      <c r="L20" s="1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/>
      <c r="C21" s="11" t="s">
        <v>26</v>
      </c>
      <c r="D21" s="35">
        <v>0.5</v>
      </c>
      <c r="E21" s="32">
        <v>185000.0</v>
      </c>
      <c r="F21" s="33">
        <v>0.15</v>
      </c>
      <c r="G21" s="34">
        <f t="shared" si="1"/>
        <v>106375</v>
      </c>
      <c r="H21" s="23"/>
      <c r="I21" s="2"/>
      <c r="J21" s="2"/>
      <c r="K21" s="2"/>
      <c r="L21" s="1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/>
      <c r="C22" s="17" t="s">
        <v>27</v>
      </c>
      <c r="D22" s="35">
        <v>0.2</v>
      </c>
      <c r="E22" s="32">
        <v>160000.0</v>
      </c>
      <c r="F22" s="33">
        <v>0.15</v>
      </c>
      <c r="G22" s="34">
        <f t="shared" si="1"/>
        <v>36800</v>
      </c>
      <c r="H22" s="23"/>
      <c r="I22" s="2"/>
      <c r="J22" s="2"/>
      <c r="K22" s="2"/>
      <c r="L22" s="1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/>
      <c r="C23" s="11" t="s">
        <v>28</v>
      </c>
      <c r="D23" s="37"/>
      <c r="E23" s="38"/>
      <c r="F23" s="39"/>
      <c r="G23" s="40">
        <v>450000.0</v>
      </c>
      <c r="H23" s="2"/>
      <c r="I23" s="2"/>
      <c r="J23" s="2"/>
      <c r="K23" s="2"/>
      <c r="L23" s="1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/>
      <c r="C24" s="11" t="s">
        <v>29</v>
      </c>
      <c r="D24" s="37"/>
      <c r="E24" s="38"/>
      <c r="F24" s="39"/>
      <c r="G24" s="40">
        <v>100000.0</v>
      </c>
      <c r="H24" s="2"/>
      <c r="I24" s="2"/>
      <c r="J24" s="2"/>
      <c r="K24" s="2"/>
      <c r="L24" s="1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/>
      <c r="C25" s="11" t="s">
        <v>30</v>
      </c>
      <c r="D25" s="37"/>
      <c r="E25" s="37"/>
      <c r="F25" s="39"/>
      <c r="G25" s="40">
        <v>150000.0</v>
      </c>
      <c r="H25" s="2"/>
      <c r="I25" s="2"/>
      <c r="J25" s="2"/>
      <c r="K25" s="2"/>
      <c r="L25" s="1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/>
      <c r="C26" s="2"/>
      <c r="D26" s="2"/>
      <c r="E26" s="2"/>
      <c r="F26" s="2"/>
      <c r="G26" s="41"/>
      <c r="H26" s="2"/>
      <c r="I26" s="2"/>
      <c r="J26" s="2"/>
      <c r="K26" s="2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42"/>
      <c r="C27" s="43" t="s">
        <v>31</v>
      </c>
      <c r="D27" s="44"/>
      <c r="E27" s="45">
        <f>SUM(E17:E25)</f>
        <v>1295000</v>
      </c>
      <c r="F27" s="44"/>
      <c r="G27" s="46">
        <f>SUM(G17:G25)</f>
        <v>1613675</v>
      </c>
      <c r="H27" s="2"/>
      <c r="I27" s="2"/>
      <c r="J27" s="2"/>
      <c r="K27" s="2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4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4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4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C3:H5"/>
  </mergeCells>
  <drawing r:id="rId1"/>
</worksheet>
</file>