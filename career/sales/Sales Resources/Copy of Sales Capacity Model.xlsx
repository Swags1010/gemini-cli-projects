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ARR Waterfall" sheetId="2" r:id="rId5"/>
    <sheet state="visible" name="Sales Capacity" sheetId="3" r:id="rId6"/>
    <sheet state="visible" name="Drivers" sheetId="4" r:id="rId7"/>
  </sheets>
  <definedNames>
    <definedName hidden="1" localSheetId="2" name="Z_34DA7227_989A_45C1_B095_F50D01868573_.wvu.FilterData">'Sales Capacity'!$B$2:$E$22</definedName>
  </definedNames>
  <calcPr/>
  <customWorkbookViews>
    <customWorkbookView activeSheetId="0" maximized="1" windowHeight="0" windowWidth="0" guid="{34DA7227-989A-45C1-B095-F50D01868573}" name="Filter 1"/>
  </customWorkbookViews>
  <extLst>
    <ext uri="GoogleSheetsCustomDataVersion2">
      <go:sheetsCustomData xmlns:go="http://customooxmlschemas.google.com/" r:id="rId8" roundtripDataChecksum="2xoHAWU4c/ldXJTts+CQV9fILbsR9UmKf+zPulgifzY="/>
    </ext>
  </extLst>
</workbook>
</file>

<file path=xl/sharedStrings.xml><?xml version="1.0" encoding="utf-8"?>
<sst xmlns="http://schemas.openxmlformats.org/spreadsheetml/2006/main" count="181" uniqueCount="109">
  <si>
    <t>Sales Capacity Planning</t>
  </si>
  <si>
    <t>Last update: May 30, 2025</t>
  </si>
  <si>
    <t>FOR EDUCATIONAL PURPOSES ONLY</t>
  </si>
  <si>
    <t>SHARE THIS DOC AND SUBSCRIBE TO GET MORE&gt;&gt;&gt;</t>
  </si>
  <si>
    <t>CFOPilot</t>
  </si>
  <si>
    <t>This file is just for educational purposes and to show what a sales capacity planning model might look like
Disclaimer: There might be formula mistakes and/or differences on how you need to forecast</t>
  </si>
  <si>
    <t>*Subscribe and get future updates to the model as I add more layers to this sales capacity model</t>
  </si>
  <si>
    <t>Sales Capacity Planning Template</t>
  </si>
  <si>
    <t>Quarterly&gt;&gt;&gt;</t>
  </si>
  <si>
    <t>Monthly&gt;&gt;&gt;</t>
  </si>
  <si>
    <t>Forecast</t>
  </si>
  <si>
    <t>FY25</t>
  </si>
  <si>
    <t>Q1FY25</t>
  </si>
  <si>
    <t>Q2FY25</t>
  </si>
  <si>
    <t>Q3FY25</t>
  </si>
  <si>
    <t>Q4FY25</t>
  </si>
  <si>
    <t>Beginning ARR</t>
  </si>
  <si>
    <t>(+) New Business ARR</t>
  </si>
  <si>
    <t>(+) Expansion</t>
  </si>
  <si>
    <t xml:space="preserve">(-) Churn (logo &amp; revenue) </t>
  </si>
  <si>
    <t>Ending ARR</t>
  </si>
  <si>
    <t>growth % y/y</t>
  </si>
  <si>
    <t>growth % m/m</t>
  </si>
  <si>
    <t>Attainment Forecasts</t>
  </si>
  <si>
    <t>FY25 Board ARR Target</t>
  </si>
  <si>
    <t>Current Forecast</t>
  </si>
  <si>
    <t>Excess/(Shortfall)</t>
  </si>
  <si>
    <t>Forecasted New ARR</t>
  </si>
  <si>
    <t>Street Quota</t>
  </si>
  <si>
    <t>*Total available quota (no overassign)</t>
  </si>
  <si>
    <t>Remaining overassign/(underassign)</t>
  </si>
  <si>
    <t>% overassign/(underassign)</t>
  </si>
  <si>
    <t>*Before any actuals are added this will equal the overassign noted on the "Drivers" tab</t>
  </si>
  <si>
    <t>AE name</t>
  </si>
  <si>
    <t>Role</t>
  </si>
  <si>
    <t>Actual / Forecasted Start Date</t>
  </si>
  <si>
    <t>End Date (including forecasts)</t>
  </si>
  <si>
    <t>Ramping Rep Equivelents (RRE)</t>
  </si>
  <si>
    <t>OnlyCFO</t>
  </si>
  <si>
    <t>Account Executives - Enterprise</t>
  </si>
  <si>
    <t>1/0/00</t>
  </si>
  <si>
    <t>Bob</t>
  </si>
  <si>
    <t>Account Executives - Mid Market</t>
  </si>
  <si>
    <t>John</t>
  </si>
  <si>
    <t>CJ</t>
  </si>
  <si>
    <t>SecretCFO</t>
  </si>
  <si>
    <t>Dory</t>
  </si>
  <si>
    <t>Brittany</t>
  </si>
  <si>
    <t>Dora the Explorer</t>
  </si>
  <si>
    <t>Elsa</t>
  </si>
  <si>
    <t>Snow White</t>
  </si>
  <si>
    <t>Account Executives - SMB</t>
  </si>
  <si>
    <t>Total</t>
  </si>
  <si>
    <t>&gt;&gt;Copy formula down as more sales reps are added</t>
  </si>
  <si>
    <t>Productive Capacity (street quota less overassign)</t>
  </si>
  <si>
    <t>320 Account Executives - Enterprise</t>
  </si>
  <si>
    <t>330 Account Executives - Commercial</t>
  </si>
  <si>
    <t>Management Discretionary</t>
  </si>
  <si>
    <t>Adjusted productive capacity</t>
  </si>
  <si>
    <t xml:space="preserve">Pipeline Funnel </t>
  </si>
  <si>
    <t>Enterprise</t>
  </si>
  <si>
    <t>ASP</t>
  </si>
  <si>
    <t>Closed oppties per month</t>
  </si>
  <si>
    <t>Win Rate (Oppty to Win)</t>
  </si>
  <si>
    <t>Oppties needed</t>
  </si>
  <si>
    <t>SQL (meeting set) to Oppty</t>
  </si>
  <si>
    <t>SQLs needed</t>
  </si>
  <si>
    <t>PipeGen Sources*</t>
  </si>
  <si>
    <t>SDR Outbound</t>
  </si>
  <si>
    <t>Marketing</t>
  </si>
  <si>
    <t>AE</t>
  </si>
  <si>
    <t>Partners</t>
  </si>
  <si>
    <t>Total Oppties</t>
  </si>
  <si>
    <t>Mid Market + SMB</t>
  </si>
  <si>
    <t>PipeGen Sources</t>
  </si>
  <si>
    <t>TOTAL Pipeline</t>
  </si>
  <si>
    <t>Sales Capacity Planning Drivers</t>
  </si>
  <si>
    <t>Quota</t>
  </si>
  <si>
    <t>Months&gt;&gt;&gt;</t>
  </si>
  <si>
    <t>AE Ramping</t>
  </si>
  <si>
    <t>Overassign</t>
  </si>
  <si>
    <t>Linearity</t>
  </si>
  <si>
    <t>Q1</t>
  </si>
  <si>
    <t>Q2</t>
  </si>
  <si>
    <t>Q3</t>
  </si>
  <si>
    <t>Q4</t>
  </si>
  <si>
    <t>M1</t>
  </si>
  <si>
    <t>M2</t>
  </si>
  <si>
    <t>M3</t>
  </si>
  <si>
    <t>Q1M1</t>
  </si>
  <si>
    <t>Q1M2</t>
  </si>
  <si>
    <t>Q1M3</t>
  </si>
  <si>
    <t>Q2M1</t>
  </si>
  <si>
    <t>Q2M2</t>
  </si>
  <si>
    <t>Q2M3</t>
  </si>
  <si>
    <t>Q3M1</t>
  </si>
  <si>
    <t>Q3M2</t>
  </si>
  <si>
    <t>Q3M3</t>
  </si>
  <si>
    <t>Q4M1</t>
  </si>
  <si>
    <t>Q4M2</t>
  </si>
  <si>
    <t>Q4M3</t>
  </si>
  <si>
    <t>Churn</t>
  </si>
  <si>
    <t>Expansion % of New ARR</t>
  </si>
  <si>
    <t>Pipeline Drivers (in months)</t>
  </si>
  <si>
    <t>ENTERPRISE Oppty-to-Close TTC</t>
  </si>
  <si>
    <t>*TTC = time to close</t>
  </si>
  <si>
    <t xml:space="preserve">Mid Market &amp; SMB Oppty-to-Close TTC </t>
  </si>
  <si>
    <t>ENTERPRISE SQL-to-OpptyTTC</t>
  </si>
  <si>
    <t xml:space="preserve">Mid Market &amp; SMB SQL-to-Oppty TTC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</si>
</sst>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-d"/>
    <numFmt numFmtId="165" formatCode="mmmm-d"/>
    <numFmt numFmtId="166" formatCode="0.0%"/>
    <numFmt numFmtId="167" formatCode="m/d/yy"/>
  </numFmts>
  <fonts count="2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sz val="13.0"/>
      <color rgb="FF0000FF"/>
      <name val="Arial"/>
    </font>
    <font>
      <color theme="1"/>
      <name val="Arial"/>
      <scheme val="minor"/>
    </font>
    <font>
      <b/>
      <color rgb="FFFFFFFF"/>
      <name val="Arial"/>
    </font>
    <font>
      <b/>
      <color rgb="FF000000"/>
      <name val="Arial"/>
    </font>
    <font>
      <color rgb="FF000000"/>
      <name val="Arial"/>
    </font>
    <font>
      <color theme="4"/>
      <name val="Arial"/>
    </font>
    <font>
      <color rgb="FF4285F4"/>
      <name val="Arial"/>
    </font>
    <font>
      <i/>
      <color rgb="FF000000"/>
      <name val="Arial"/>
    </font>
    <font>
      <i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666666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theme="4"/>
      <name val="Arial"/>
    </font>
    <font>
      <sz val="10.0"/>
      <color rgb="FF4285F4"/>
      <name val="Arial"/>
    </font>
    <font>
      <i/>
      <sz val="10.0"/>
      <color theme="1"/>
      <name val="Arial"/>
    </font>
    <font>
      <sz val="10.0"/>
      <color rgb="FFFFFFFF"/>
      <name val="Arial"/>
    </font>
    <font>
      <sz val="10.0"/>
      <color rgb="FF4A86E8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C4587"/>
        <bgColor rgb="FF1C4587"/>
      </patternFill>
    </fill>
    <fill>
      <patternFill patternType="solid">
        <fgColor rgb="FFFBE4D5"/>
        <bgColor rgb="FFFBE4D5"/>
      </patternFill>
    </fill>
    <fill>
      <patternFill patternType="solid">
        <fgColor rgb="FFE2EFDA"/>
        <bgColor rgb="FFE2EFDA"/>
      </patternFill>
    </fill>
    <fill>
      <patternFill patternType="solid">
        <fgColor rgb="FF000000"/>
        <bgColor rgb="FF000000"/>
      </patternFill>
    </fill>
    <fill>
      <patternFill patternType="solid">
        <fgColor rgb="FF021F62"/>
        <bgColor rgb="FF021F62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D9E2F3"/>
        <bgColor rgb="FFD9E2F3"/>
      </patternFill>
    </fill>
  </fills>
  <borders count="1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top"/>
    </xf>
    <xf borderId="3" fillId="0" fontId="3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2" fontId="2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3" fontId="5" numFmtId="0" xfId="0" applyAlignment="1" applyFill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6" numFmtId="164" xfId="0" applyAlignment="1" applyFont="1" applyNumberFormat="1">
      <alignment horizontal="center" shrinkToFit="0" vertical="bottom" wrapText="0"/>
    </xf>
    <xf borderId="0" fillId="4" fontId="6" numFmtId="164" xfId="0" applyAlignment="1" applyFill="1" applyFont="1" applyNumberFormat="1">
      <alignment horizontal="center" shrinkToFit="0" vertical="bottom" wrapText="0"/>
    </xf>
    <xf borderId="0" fillId="5" fontId="6" numFmtId="164" xfId="0" applyAlignment="1" applyFill="1" applyFont="1" applyNumberFormat="1">
      <alignment horizontal="center" shrinkToFit="0" vertical="bottom" wrapText="0"/>
    </xf>
    <xf borderId="0" fillId="5" fontId="6" numFmtId="165" xfId="0" applyAlignment="1" applyFont="1" applyNumberFormat="1">
      <alignment horizontal="center" shrinkToFit="0" vertical="bottom" wrapText="0"/>
    </xf>
    <xf borderId="1" fillId="0" fontId="6" numFmtId="0" xfId="0" applyAlignment="1" applyBorder="1" applyFont="1">
      <alignment shrinkToFit="0" vertical="bottom" wrapText="0"/>
    </xf>
    <xf borderId="0" fillId="0" fontId="2" numFmtId="3" xfId="0" applyFont="1" applyNumberFormat="1"/>
    <xf borderId="0" fillId="0" fontId="7" numFmtId="0" xfId="0" applyAlignment="1" applyFont="1">
      <alignment shrinkToFit="0" vertical="bottom" wrapText="0"/>
    </xf>
    <xf borderId="4" fillId="0" fontId="2" numFmtId="3" xfId="0" applyBorder="1" applyFont="1" applyNumberFormat="1"/>
    <xf borderId="4" fillId="0" fontId="2" numFmtId="0" xfId="0" applyBorder="1" applyFont="1"/>
    <xf borderId="0" fillId="0" fontId="7" numFmtId="3" xfId="0" applyAlignment="1" applyFont="1" applyNumberFormat="1">
      <alignment horizontal="right" shrinkToFit="0" vertical="bottom" wrapText="0"/>
    </xf>
    <xf borderId="5" fillId="0" fontId="6" numFmtId="0" xfId="0" applyAlignment="1" applyBorder="1" applyFont="1">
      <alignment shrinkToFit="0" vertical="bottom" wrapText="0"/>
    </xf>
    <xf borderId="5" fillId="0" fontId="7" numFmtId="3" xfId="0" applyAlignment="1" applyBorder="1" applyFont="1" applyNumberFormat="1">
      <alignment horizontal="right" shrinkToFit="0" vertical="bottom" wrapText="0"/>
    </xf>
    <xf borderId="0" fillId="0" fontId="8" numFmtId="3" xfId="0" applyAlignment="1" applyFont="1" applyNumberFormat="1">
      <alignment horizontal="right" shrinkToFit="0" vertical="bottom" wrapText="0"/>
    </xf>
    <xf borderId="5" fillId="0" fontId="9" numFmtId="3" xfId="0" applyAlignment="1" applyBorder="1" applyFont="1" applyNumberFormat="1">
      <alignment horizontal="right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2" numFmtId="9" xfId="0" applyFont="1" applyNumberFormat="1"/>
    <xf borderId="0" fillId="0" fontId="2" numFmtId="166" xfId="0" applyFont="1" applyNumberFormat="1"/>
    <xf borderId="6" fillId="6" fontId="5" numFmtId="0" xfId="0" applyBorder="1" applyFill="1" applyFont="1"/>
    <xf borderId="7" fillId="6" fontId="5" numFmtId="0" xfId="0" applyBorder="1" applyFont="1"/>
    <xf borderId="8" fillId="0" fontId="2" numFmtId="0" xfId="0" applyBorder="1" applyFont="1"/>
    <xf borderId="2" fillId="0" fontId="9" numFmtId="3" xfId="0" applyBorder="1" applyFont="1" applyNumberFormat="1"/>
    <xf borderId="2" fillId="0" fontId="2" numFmtId="3" xfId="0" applyBorder="1" applyFont="1" applyNumberFormat="1"/>
    <xf borderId="9" fillId="0" fontId="2" numFmtId="3" xfId="0" applyBorder="1" applyFont="1" applyNumberFormat="1"/>
    <xf borderId="2" fillId="0" fontId="2" numFmtId="0" xfId="0" applyBorder="1" applyFont="1"/>
    <xf borderId="0" fillId="0" fontId="11" numFmtId="0" xfId="0" applyFont="1"/>
    <xf borderId="8" fillId="0" fontId="2" numFmtId="0" xfId="0" applyAlignment="1" applyBorder="1" applyFont="1">
      <alignment shrinkToFit="0" wrapText="1"/>
    </xf>
    <xf borderId="10" fillId="0" fontId="2" numFmtId="0" xfId="0" applyBorder="1" applyFont="1"/>
    <xf borderId="3" fillId="0" fontId="2" numFmtId="9" xfId="0" applyBorder="1" applyFont="1" applyNumberFormat="1"/>
    <xf borderId="0" fillId="0" fontId="12" numFmtId="0" xfId="0" applyFont="1"/>
    <xf borderId="0" fillId="0" fontId="12" numFmtId="167" xfId="0" applyFont="1" applyNumberFormat="1"/>
    <xf borderId="0" fillId="0" fontId="12" numFmtId="14" xfId="0" applyFont="1" applyNumberFormat="1"/>
    <xf borderId="0" fillId="6" fontId="13" numFmtId="0" xfId="0" applyAlignment="1" applyFont="1">
      <alignment horizontal="center" shrinkToFit="0" vertical="bottom" wrapText="0"/>
    </xf>
    <xf borderId="0" fillId="6" fontId="13" numFmtId="0" xfId="0" applyAlignment="1" applyFont="1">
      <alignment horizontal="center" shrinkToFit="0" vertical="bottom" wrapText="1"/>
    </xf>
    <xf borderId="0" fillId="7" fontId="13" numFmtId="0" xfId="0" applyAlignment="1" applyFill="1" applyFont="1">
      <alignment horizontal="center" shrinkToFit="0" vertical="bottom" wrapText="0"/>
    </xf>
    <xf borderId="0" fillId="8" fontId="14" numFmtId="0" xfId="0" applyAlignment="1" applyFill="1" applyFont="1">
      <alignment horizontal="center" shrinkToFit="0" vertical="bottom" wrapText="0"/>
    </xf>
    <xf borderId="0" fillId="0" fontId="15" numFmtId="0" xfId="0" applyAlignment="1" applyFont="1">
      <alignment horizontal="left" shrinkToFit="0" vertical="top" wrapText="0"/>
    </xf>
    <xf borderId="0" fillId="0" fontId="16" numFmtId="0" xfId="0" applyAlignment="1" applyFont="1">
      <alignment horizontal="left" shrinkToFit="0" vertical="top" wrapText="0"/>
    </xf>
    <xf borderId="0" fillId="0" fontId="16" numFmtId="167" xfId="0" applyAlignment="1" applyFont="1" applyNumberFormat="1">
      <alignment horizontal="right"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2" numFmtId="10" xfId="0" applyFont="1" applyNumberFormat="1"/>
    <xf borderId="0" fillId="3" fontId="13" numFmtId="0" xfId="0" applyAlignment="1" applyFont="1">
      <alignment horizontal="left" shrinkToFit="0" vertical="top" wrapText="0"/>
    </xf>
    <xf borderId="0" fillId="3" fontId="16" numFmtId="0" xfId="0" applyAlignment="1" applyFont="1">
      <alignment horizontal="left" shrinkToFit="0" vertical="top" wrapText="0"/>
    </xf>
    <xf borderId="0" fillId="3" fontId="16" numFmtId="167" xfId="0" applyAlignment="1" applyFont="1" applyNumberFormat="1">
      <alignment horizontal="right" shrinkToFit="0" vertical="bottom" wrapText="0"/>
    </xf>
    <xf borderId="0" fillId="3" fontId="16" numFmtId="0" xfId="0" applyAlignment="1" applyFont="1">
      <alignment horizontal="right" shrinkToFit="0" vertical="bottom" wrapText="0"/>
    </xf>
    <xf borderId="0" fillId="3" fontId="12" numFmtId="0" xfId="0" applyFont="1"/>
    <xf borderId="0" fillId="3" fontId="12" numFmtId="10" xfId="0" applyFont="1" applyNumberFormat="1"/>
    <xf borderId="0" fillId="0" fontId="15" numFmtId="0" xfId="0" applyAlignment="1" applyFont="1">
      <alignment horizontal="left" readingOrder="0" shrinkToFit="0" vertical="top" wrapText="0"/>
    </xf>
    <xf borderId="0" fillId="0" fontId="16" numFmtId="167" xfId="0" applyAlignment="1" applyFont="1" applyNumberFormat="1">
      <alignment horizontal="center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2" numFmtId="9" xfId="0" applyFont="1" applyNumberFormat="1"/>
    <xf borderId="4" fillId="0" fontId="12" numFmtId="0" xfId="0" applyBorder="1" applyFont="1"/>
    <xf borderId="0" fillId="0" fontId="12" numFmtId="4" xfId="0" applyFont="1" applyNumberFormat="1"/>
    <xf borderId="4" fillId="0" fontId="12" numFmtId="4" xfId="0" applyBorder="1" applyFont="1" applyNumberFormat="1"/>
    <xf borderId="0" fillId="0" fontId="12" numFmtId="167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2" numFmtId="3" xfId="0" applyFont="1" applyNumberFormat="1"/>
    <xf borderId="0" fillId="2" fontId="17" numFmtId="0" xfId="0" applyFont="1"/>
    <xf borderId="4" fillId="0" fontId="12" numFmtId="3" xfId="0" applyBorder="1" applyFont="1" applyNumberFormat="1"/>
    <xf borderId="0" fillId="3" fontId="13" numFmtId="0" xfId="0" applyAlignment="1" applyFont="1">
      <alignment horizontal="left" readingOrder="0" shrinkToFit="0" vertical="top" wrapText="0"/>
    </xf>
    <xf borderId="0" fillId="2" fontId="12" numFmtId="0" xfId="0" applyFont="1"/>
    <xf borderId="0" fillId="2" fontId="12" numFmtId="3" xfId="0" applyFont="1" applyNumberFormat="1"/>
    <xf borderId="11" fillId="0" fontId="12" numFmtId="0" xfId="0" applyBorder="1" applyFont="1"/>
    <xf borderId="11" fillId="0" fontId="12" numFmtId="3" xfId="0" applyBorder="1" applyFont="1" applyNumberFormat="1"/>
    <xf borderId="0" fillId="9" fontId="17" numFmtId="0" xfId="0" applyFill="1" applyFont="1"/>
    <xf borderId="0" fillId="9" fontId="12" numFmtId="0" xfId="0" applyFont="1"/>
    <xf borderId="0" fillId="9" fontId="18" numFmtId="3" xfId="0" applyFont="1" applyNumberFormat="1"/>
    <xf borderId="0" fillId="0" fontId="19" numFmtId="3" xfId="0" applyFont="1" applyNumberFormat="1"/>
    <xf borderId="0" fillId="0" fontId="19" numFmtId="9" xfId="0" applyFont="1" applyNumberFormat="1"/>
    <xf borderId="0" fillId="0" fontId="16" numFmtId="0" xfId="0" applyAlignment="1" applyFont="1">
      <alignment horizontal="left" shrinkToFit="0" vertical="bottom" wrapText="0"/>
    </xf>
    <xf borderId="0" fillId="0" fontId="17" numFmtId="0" xfId="0" applyFont="1"/>
    <xf borderId="0" fillId="0" fontId="12" numFmtId="1" xfId="0" applyFont="1" applyNumberFormat="1"/>
    <xf borderId="4" fillId="0" fontId="12" numFmtId="1" xfId="0" applyBorder="1" applyFont="1" applyNumberFormat="1"/>
    <xf borderId="0" fillId="0" fontId="20" numFmtId="0" xfId="0" applyFont="1"/>
    <xf borderId="0" fillId="0" fontId="18" numFmtId="9" xfId="0" applyFont="1" applyNumberFormat="1"/>
    <xf borderId="11" fillId="0" fontId="17" numFmtId="0" xfId="0" applyBorder="1" applyFont="1"/>
    <xf borderId="11" fillId="0" fontId="12" numFmtId="1" xfId="0" applyBorder="1" applyFont="1" applyNumberFormat="1"/>
    <xf borderId="6" fillId="6" fontId="21" numFmtId="0" xfId="0" applyAlignment="1" applyBorder="1" applyFont="1">
      <alignment horizontal="center"/>
    </xf>
    <xf borderId="7" fillId="6" fontId="21" numFmtId="0" xfId="0" applyAlignment="1" applyBorder="1" applyFont="1">
      <alignment horizontal="center"/>
    </xf>
    <xf borderId="8" fillId="0" fontId="16" numFmtId="0" xfId="0" applyAlignment="1" applyBorder="1" applyFont="1">
      <alignment horizontal="left" shrinkToFit="0" vertical="top" wrapText="0"/>
    </xf>
    <xf borderId="2" fillId="0" fontId="22" numFmtId="4" xfId="0" applyBorder="1" applyFont="1" applyNumberFormat="1"/>
    <xf borderId="10" fillId="0" fontId="16" numFmtId="0" xfId="0" applyAlignment="1" applyBorder="1" applyFont="1">
      <alignment horizontal="left" shrinkToFit="0" vertical="top" wrapText="0"/>
    </xf>
    <xf borderId="3" fillId="0" fontId="22" numFmtId="4" xfId="0" applyBorder="1" applyFont="1" applyNumberFormat="1"/>
    <xf borderId="6" fillId="0" fontId="12" numFmtId="0" xfId="0" applyBorder="1" applyFont="1"/>
    <xf borderId="4" fillId="0" fontId="16" numFmtId="0" xfId="0" applyAlignment="1" applyBorder="1" applyFont="1">
      <alignment shrinkToFit="0" vertical="bottom" wrapText="0"/>
    </xf>
    <xf borderId="7" fillId="0" fontId="16" numFmtId="0" xfId="0" applyAlignment="1" applyBorder="1" applyFont="1">
      <alignment shrinkToFit="0" vertical="bottom" wrapText="0"/>
    </xf>
    <xf borderId="4" fillId="10" fontId="14" numFmtId="0" xfId="0" applyAlignment="1" applyBorder="1" applyFill="1" applyFont="1">
      <alignment horizontal="center" shrinkToFit="0" vertical="bottom" wrapText="0"/>
    </xf>
    <xf borderId="7" fillId="10" fontId="14" numFmtId="0" xfId="0" applyAlignment="1" applyBorder="1" applyFont="1">
      <alignment horizontal="center" shrinkToFit="0" vertical="bottom" wrapText="0"/>
    </xf>
    <xf borderId="0" fillId="0" fontId="18" numFmtId="9" xfId="0" applyAlignment="1" applyFont="1" applyNumberFormat="1">
      <alignment horizontal="center" shrinkToFit="0" vertical="bottom" wrapText="0"/>
    </xf>
    <xf borderId="2" fillId="0" fontId="18" numFmtId="9" xfId="0" applyAlignment="1" applyBorder="1" applyFont="1" applyNumberFormat="1">
      <alignment horizontal="center" shrinkToFit="0" vertical="bottom" wrapText="0"/>
    </xf>
    <xf borderId="1" fillId="0" fontId="18" numFmtId="9" xfId="0" applyAlignment="1" applyBorder="1" applyFont="1" applyNumberFormat="1">
      <alignment horizontal="center" shrinkToFit="0" vertical="bottom" wrapText="0"/>
    </xf>
    <xf borderId="3" fillId="0" fontId="18" numFmtId="9" xfId="0" applyAlignment="1" applyBorder="1" applyFont="1" applyNumberFormat="1">
      <alignment horizontal="center" shrinkToFit="0" vertical="bottom" wrapText="0"/>
    </xf>
    <xf borderId="0" fillId="0" fontId="18" numFmtId="0" xfId="0" applyFont="1"/>
    <xf borderId="12" fillId="6" fontId="21" numFmtId="0" xfId="0" applyAlignment="1" applyBorder="1" applyFont="1">
      <alignment horizontal="center"/>
    </xf>
    <xf borderId="13" fillId="0" fontId="18" numFmtId="9" xfId="0" applyAlignment="1" applyBorder="1" applyFont="1" applyNumberFormat="1">
      <alignment horizontal="center"/>
    </xf>
    <xf borderId="7" fillId="0" fontId="12" numFmtId="0" xfId="0" applyBorder="1" applyFont="1"/>
    <xf borderId="8" fillId="0" fontId="12" numFmtId="0" xfId="0" applyBorder="1" applyFont="1"/>
    <xf borderId="0" fillId="0" fontId="19" numFmtId="9" xfId="0" applyAlignment="1" applyFont="1" applyNumberFormat="1">
      <alignment horizontal="center" shrinkToFit="0" vertical="bottom" wrapText="0"/>
    </xf>
    <xf borderId="2" fillId="0" fontId="12" numFmtId="0" xfId="0" applyBorder="1" applyFont="1"/>
    <xf borderId="0" fillId="10" fontId="14" numFmtId="0" xfId="0" applyAlignment="1" applyFont="1">
      <alignment horizontal="center" shrinkToFit="0" vertical="bottom" wrapText="0"/>
    </xf>
    <xf borderId="0" fillId="0" fontId="16" numFmtId="0" xfId="0" applyAlignment="1" applyFont="1">
      <alignment shrinkToFit="0" vertical="bottom" wrapText="0"/>
    </xf>
    <xf borderId="2" fillId="0" fontId="16" numFmtId="0" xfId="0" applyAlignment="1" applyBorder="1" applyFont="1">
      <alignment shrinkToFit="0" vertical="bottom" wrapText="0"/>
    </xf>
    <xf borderId="2" fillId="10" fontId="14" numFmtId="0" xfId="0" applyAlignment="1" applyBorder="1" applyFont="1">
      <alignment horizontal="center" shrinkToFit="0" vertical="bottom" wrapText="0"/>
    </xf>
    <xf borderId="10" fillId="0" fontId="12" numFmtId="0" xfId="0" applyBorder="1" applyFont="1"/>
    <xf borderId="1" fillId="0" fontId="16" numFmtId="10" xfId="0" applyAlignment="1" applyBorder="1" applyFont="1" applyNumberFormat="1">
      <alignment horizontal="center" shrinkToFit="0" vertical="bottom" wrapText="0"/>
    </xf>
    <xf borderId="3" fillId="0" fontId="16" numFmtId="10" xfId="0" applyAlignment="1" applyBorder="1" applyFont="1" applyNumberFormat="1">
      <alignment horizontal="center" shrinkToFit="0" vertical="bottom" wrapText="0"/>
    </xf>
    <xf borderId="0" fillId="0" fontId="16" numFmtId="9" xfId="0" applyAlignment="1" applyFont="1" applyNumberFormat="1">
      <alignment horizontal="right" shrinkToFit="0" vertical="bottom" wrapText="0"/>
    </xf>
    <xf borderId="13" fillId="0" fontId="19" numFmtId="9" xfId="0" applyAlignment="1" applyBorder="1" applyFont="1" applyNumberFormat="1">
      <alignment horizontal="center"/>
    </xf>
    <xf borderId="6" fillId="6" fontId="21" numFmtId="0" xfId="0" applyAlignment="1" applyBorder="1" applyFont="1">
      <alignment horizontal="center" readingOrder="0"/>
    </xf>
    <xf borderId="8" fillId="0" fontId="12" numFmtId="0" xfId="0" applyAlignment="1" applyBorder="1" applyFont="1">
      <alignment horizontal="right"/>
    </xf>
    <xf borderId="0" fillId="0" fontId="19" numFmtId="3" xfId="0" applyAlignment="1" applyFont="1" applyNumberFormat="1">
      <alignment horizontal="center" shrinkToFit="0" vertical="bottom" wrapText="0"/>
    </xf>
    <xf borderId="10" fillId="0" fontId="12" numFmtId="0" xfId="0" applyAlignment="1" applyBorder="1" applyFont="1">
      <alignment horizontal="right"/>
    </xf>
    <xf borderId="1" fillId="0" fontId="19" numFmtId="3" xfId="0" applyAlignment="1" applyBorder="1" applyFont="1" applyNumberFormat="1">
      <alignment horizontal="center" shrinkToFit="0" vertical="bottom" wrapText="0"/>
    </xf>
    <xf borderId="1" fillId="0" fontId="12" numFmtId="0" xfId="0" applyBorder="1" applyFont="1"/>
    <xf borderId="3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fopilot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2"/>
      <c r="C2" s="2"/>
      <c r="D2" s="2"/>
      <c r="E2" s="2"/>
      <c r="F2" s="2"/>
    </row>
    <row r="3">
      <c r="A3" s="4" t="s">
        <v>2</v>
      </c>
      <c r="B3" s="2"/>
      <c r="C3" s="2"/>
      <c r="D3" s="2"/>
      <c r="E3" s="2"/>
      <c r="F3" s="2"/>
    </row>
    <row r="4">
      <c r="A4" s="2"/>
      <c r="B4" s="5"/>
      <c r="C4" s="5"/>
      <c r="D4" s="5"/>
      <c r="E4" s="5"/>
      <c r="F4" s="5"/>
    </row>
    <row r="5">
      <c r="A5" s="6"/>
      <c r="B5" s="7" t="s">
        <v>3</v>
      </c>
      <c r="C5" s="5"/>
      <c r="D5" s="8"/>
      <c r="E5" s="8"/>
      <c r="F5" s="9" t="s">
        <v>4</v>
      </c>
    </row>
    <row r="6">
      <c r="A6" s="2"/>
      <c r="B6" s="2"/>
      <c r="C6" s="2"/>
      <c r="D6" s="10"/>
      <c r="E6" s="10"/>
      <c r="F6" s="10"/>
    </row>
    <row r="7">
      <c r="A7" s="2"/>
      <c r="B7" s="11" t="s">
        <v>5</v>
      </c>
    </row>
    <row r="8">
      <c r="A8" s="2"/>
    </row>
    <row r="9">
      <c r="A9" s="2"/>
    </row>
    <row r="10">
      <c r="A10" s="2"/>
    </row>
    <row r="11">
      <c r="A11" s="2"/>
    </row>
    <row r="14">
      <c r="B14" s="12" t="s">
        <v>6</v>
      </c>
    </row>
  </sheetData>
  <mergeCells count="1">
    <mergeCell ref="B7:F11"/>
  </mergeCells>
  <hyperlinks>
    <hyperlink r:id="rId1" ref="F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2" max="2" width="21.25"/>
    <col customWidth="1" min="4" max="4" width="7.13"/>
    <col customWidth="1" min="9" max="9" width="7.0"/>
    <col customWidth="1" min="23" max="23" width="4.38"/>
  </cols>
  <sheetData>
    <row r="1" ht="15.75" customHeight="1">
      <c r="A1" s="13" t="s">
        <v>7</v>
      </c>
    </row>
    <row r="2" ht="15.75" customHeight="1"/>
    <row r="3" ht="15.75" customHeight="1">
      <c r="C3" s="14"/>
      <c r="D3" s="14"/>
      <c r="E3" s="13" t="s">
        <v>8</v>
      </c>
      <c r="J3" s="13" t="s">
        <v>9</v>
      </c>
      <c r="K3" s="15" t="s">
        <v>10</v>
      </c>
      <c r="L3" s="15" t="s">
        <v>10</v>
      </c>
      <c r="M3" s="15" t="s">
        <v>10</v>
      </c>
      <c r="N3" s="15" t="s">
        <v>10</v>
      </c>
      <c r="O3" s="15" t="s">
        <v>10</v>
      </c>
      <c r="P3" s="15" t="s">
        <v>10</v>
      </c>
      <c r="Q3" s="15" t="s">
        <v>10</v>
      </c>
      <c r="R3" s="15" t="s">
        <v>10</v>
      </c>
      <c r="S3" s="15" t="s">
        <v>10</v>
      </c>
      <c r="T3" s="15" t="s">
        <v>10</v>
      </c>
      <c r="U3" s="15" t="s">
        <v>10</v>
      </c>
      <c r="V3" s="15" t="s">
        <v>10</v>
      </c>
    </row>
    <row r="4" ht="15.75" customHeight="1">
      <c r="C4" s="16" t="s">
        <v>11</v>
      </c>
      <c r="D4" s="17"/>
      <c r="E4" s="16" t="s">
        <v>12</v>
      </c>
      <c r="F4" s="16" t="s">
        <v>13</v>
      </c>
      <c r="G4" s="16" t="s">
        <v>14</v>
      </c>
      <c r="H4" s="16" t="s">
        <v>15</v>
      </c>
      <c r="I4" s="18"/>
      <c r="J4" s="19">
        <v>44950.0</v>
      </c>
      <c r="K4" s="20">
        <v>44981.0</v>
      </c>
      <c r="L4" s="20">
        <v>45009.0</v>
      </c>
      <c r="M4" s="20">
        <v>45040.0</v>
      </c>
      <c r="N4" s="21">
        <v>45070.0</v>
      </c>
      <c r="O4" s="20">
        <v>45101.0</v>
      </c>
      <c r="P4" s="20">
        <v>45131.0</v>
      </c>
      <c r="Q4" s="20">
        <v>45162.0</v>
      </c>
      <c r="R4" s="20">
        <v>45193.0</v>
      </c>
      <c r="S4" s="20">
        <v>45223.0</v>
      </c>
      <c r="T4" s="20">
        <v>45254.0</v>
      </c>
      <c r="U4" s="20">
        <v>45284.0</v>
      </c>
      <c r="V4" s="20">
        <v>44951.0</v>
      </c>
    </row>
    <row r="5" ht="15.75" customHeight="1">
      <c r="B5" s="22" t="s">
        <v>16</v>
      </c>
      <c r="C5" s="23">
        <f>J9</f>
        <v>25000000</v>
      </c>
      <c r="D5" s="23"/>
      <c r="E5" s="23">
        <f>J9</f>
        <v>25000000</v>
      </c>
      <c r="F5" s="23">
        <f t="shared" ref="F5:H5" si="1">E9</f>
        <v>25434800</v>
      </c>
      <c r="G5" s="23">
        <f t="shared" si="1"/>
        <v>26182020</v>
      </c>
      <c r="H5" s="23">
        <f t="shared" si="1"/>
        <v>27561920</v>
      </c>
      <c r="K5" s="23">
        <f t="shared" ref="K5:V5" si="2">J9</f>
        <v>25000000</v>
      </c>
      <c r="L5" s="23">
        <f t="shared" si="2"/>
        <v>25100920</v>
      </c>
      <c r="M5" s="23">
        <f t="shared" si="2"/>
        <v>25231360</v>
      </c>
      <c r="N5" s="23">
        <f t="shared" si="2"/>
        <v>25434800</v>
      </c>
      <c r="O5" s="23">
        <f t="shared" si="2"/>
        <v>25639040</v>
      </c>
      <c r="P5" s="23">
        <f t="shared" si="2"/>
        <v>25850660</v>
      </c>
      <c r="Q5" s="23">
        <f t="shared" si="2"/>
        <v>26182020</v>
      </c>
      <c r="R5" s="23">
        <f t="shared" si="2"/>
        <v>26548020</v>
      </c>
      <c r="S5" s="23">
        <f t="shared" si="2"/>
        <v>26950920</v>
      </c>
      <c r="T5" s="23">
        <f t="shared" si="2"/>
        <v>27561920</v>
      </c>
      <c r="U5" s="23">
        <f t="shared" si="2"/>
        <v>28229300</v>
      </c>
      <c r="V5" s="23">
        <f t="shared" si="2"/>
        <v>28948340</v>
      </c>
    </row>
    <row r="6" ht="15.75" customHeight="1">
      <c r="B6" s="24" t="s">
        <v>17</v>
      </c>
      <c r="C6" s="25">
        <f t="shared" ref="C6:C8" si="3">sum(E6:H6)</f>
        <v>5953200</v>
      </c>
      <c r="D6" s="23"/>
      <c r="E6" s="25">
        <f t="shared" ref="E6:E8" si="4">SUM(K6:M6)</f>
        <v>747840</v>
      </c>
      <c r="F6" s="25">
        <f t="shared" ref="F6:F8" si="5">SUM(N6:P6)</f>
        <v>997776</v>
      </c>
      <c r="G6" s="25">
        <f t="shared" ref="G6:G8" si="6">SUM(Q6:S6)</f>
        <v>1603920</v>
      </c>
      <c r="H6" s="25">
        <f t="shared" ref="H6:H8" si="7">SUM(T6:V6)</f>
        <v>2603664</v>
      </c>
      <c r="J6" s="26"/>
      <c r="K6" s="25">
        <f>'Sales Capacity'!G62-K7</f>
        <v>200736</v>
      </c>
      <c r="L6" s="25">
        <f>'Sales Capacity'!H62-L7</f>
        <v>224352</v>
      </c>
      <c r="M6" s="25">
        <f>'Sales Capacity'!I62-M7</f>
        <v>322752</v>
      </c>
      <c r="N6" s="25">
        <f>'Sales Capacity'!J62-N7</f>
        <v>283392</v>
      </c>
      <c r="O6" s="25">
        <f>'Sales Capacity'!K62-O7</f>
        <v>289296</v>
      </c>
      <c r="P6" s="25">
        <f>'Sales Capacity'!L62-P7</f>
        <v>425088</v>
      </c>
      <c r="Q6" s="25">
        <f>'Sales Capacity'!M62-Q7</f>
        <v>442800</v>
      </c>
      <c r="R6" s="25">
        <f>'Sales Capacity'!N62-R7</f>
        <v>472320</v>
      </c>
      <c r="S6" s="25">
        <f>'Sales Capacity'!O62-S7</f>
        <v>688800</v>
      </c>
      <c r="T6" s="25">
        <f>'Sales Capacity'!P62-T7</f>
        <v>743904</v>
      </c>
      <c r="U6" s="25">
        <f>'Sales Capacity'!Q62-U7</f>
        <v>785232</v>
      </c>
      <c r="V6" s="25">
        <f>'Sales Capacity'!R62-V7</f>
        <v>1074528</v>
      </c>
    </row>
    <row r="7" ht="15.75" customHeight="1">
      <c r="B7" s="24" t="s">
        <v>18</v>
      </c>
      <c r="C7" s="23">
        <f t="shared" si="3"/>
        <v>1488300</v>
      </c>
      <c r="D7" s="14"/>
      <c r="E7" s="23">
        <f t="shared" si="4"/>
        <v>186960</v>
      </c>
      <c r="F7" s="23">
        <f t="shared" si="5"/>
        <v>249444</v>
      </c>
      <c r="G7" s="23">
        <f t="shared" si="6"/>
        <v>400980</v>
      </c>
      <c r="H7" s="23">
        <f t="shared" si="7"/>
        <v>650916</v>
      </c>
      <c r="K7" s="23">
        <f>'Sales Capacity'!G62*Drivers!$C$28</f>
        <v>50184</v>
      </c>
      <c r="L7" s="23">
        <f>'Sales Capacity'!H62*Drivers!$C$28</f>
        <v>56088</v>
      </c>
      <c r="M7" s="23">
        <f>'Sales Capacity'!I62*Drivers!$C$28</f>
        <v>80688</v>
      </c>
      <c r="N7" s="23">
        <f>'Sales Capacity'!J62*Drivers!$C$28</f>
        <v>70848</v>
      </c>
      <c r="O7" s="23">
        <f>'Sales Capacity'!K62*Drivers!$C$28</f>
        <v>72324</v>
      </c>
      <c r="P7" s="23">
        <f>'Sales Capacity'!L62*Drivers!$C$28</f>
        <v>106272</v>
      </c>
      <c r="Q7" s="23">
        <f>'Sales Capacity'!M62*Drivers!$C$28</f>
        <v>110700</v>
      </c>
      <c r="R7" s="23">
        <f>'Sales Capacity'!N62*Drivers!$C$28</f>
        <v>118080</v>
      </c>
      <c r="S7" s="23">
        <f>'Sales Capacity'!O62*Drivers!$C$28</f>
        <v>172200</v>
      </c>
      <c r="T7" s="23">
        <f>'Sales Capacity'!P62*Drivers!$C$28</f>
        <v>185976</v>
      </c>
      <c r="U7" s="23">
        <f>'Sales Capacity'!Q62*Drivers!$C$28</f>
        <v>196308</v>
      </c>
      <c r="V7" s="23">
        <f>'Sales Capacity'!R62*Drivers!$C$28</f>
        <v>268632</v>
      </c>
    </row>
    <row r="8" ht="15.75" customHeight="1">
      <c r="B8" s="24" t="s">
        <v>19</v>
      </c>
      <c r="C8" s="23">
        <f t="shared" si="3"/>
        <v>-2500000</v>
      </c>
      <c r="D8" s="23"/>
      <c r="E8" s="23">
        <f t="shared" si="4"/>
        <v>-500000</v>
      </c>
      <c r="F8" s="23">
        <f t="shared" si="5"/>
        <v>-500000</v>
      </c>
      <c r="G8" s="23">
        <f t="shared" si="6"/>
        <v>-625000</v>
      </c>
      <c r="H8" s="23">
        <f t="shared" si="7"/>
        <v>-875000</v>
      </c>
      <c r="K8" s="27">
        <f>-$J$9*Drivers!$C$26*Drivers!C24</f>
        <v>-150000</v>
      </c>
      <c r="L8" s="27">
        <f>-$J$9*Drivers!$C$26*Drivers!D24</f>
        <v>-150000</v>
      </c>
      <c r="M8" s="27">
        <f>-$J$9*Drivers!$C$26*Drivers!E24</f>
        <v>-200000</v>
      </c>
      <c r="N8" s="27">
        <f>-$J$9*Drivers!$C$26*Drivers!F24</f>
        <v>-150000</v>
      </c>
      <c r="O8" s="27">
        <f>-$J$9*Drivers!$C$26*Drivers!G24</f>
        <v>-150000</v>
      </c>
      <c r="P8" s="27">
        <f>-$J$9*Drivers!$C$26*Drivers!H24</f>
        <v>-200000</v>
      </c>
      <c r="Q8" s="27">
        <f>-$J$9*Drivers!$C$26*Drivers!I24</f>
        <v>-187500</v>
      </c>
      <c r="R8" s="27">
        <f>-$J$9*Drivers!$C$26*Drivers!J24</f>
        <v>-187500</v>
      </c>
      <c r="S8" s="27">
        <f>-$J$9*Drivers!$C$26*Drivers!K24</f>
        <v>-250000</v>
      </c>
      <c r="T8" s="27">
        <f>-$J$9*Drivers!$C$26*Drivers!L24</f>
        <v>-262500</v>
      </c>
      <c r="U8" s="27">
        <f>-$J$9*Drivers!$C$26*Drivers!M24</f>
        <v>-262500</v>
      </c>
      <c r="V8" s="27">
        <f>-$J$9*Drivers!$C$26*Drivers!N24</f>
        <v>-350000</v>
      </c>
    </row>
    <row r="9" ht="15.75" customHeight="1">
      <c r="B9" s="28" t="s">
        <v>20</v>
      </c>
      <c r="C9" s="29">
        <f>SUM(C5:C8)</f>
        <v>29941500</v>
      </c>
      <c r="D9" s="27"/>
      <c r="E9" s="29">
        <f t="shared" ref="E9:H9" si="8">SUM(E5:E8)</f>
        <v>25434800</v>
      </c>
      <c r="F9" s="29">
        <f t="shared" si="8"/>
        <v>26182020</v>
      </c>
      <c r="G9" s="29">
        <f t="shared" si="8"/>
        <v>27561920</v>
      </c>
      <c r="H9" s="29">
        <f t="shared" si="8"/>
        <v>29941500</v>
      </c>
      <c r="I9" s="30"/>
      <c r="J9" s="31">
        <v>2.5E7</v>
      </c>
      <c r="K9" s="29">
        <f t="shared" ref="K9:V9" si="9">SUM(K5:K8)</f>
        <v>25100920</v>
      </c>
      <c r="L9" s="29">
        <f t="shared" si="9"/>
        <v>25231360</v>
      </c>
      <c r="M9" s="29">
        <f t="shared" si="9"/>
        <v>25434800</v>
      </c>
      <c r="N9" s="29">
        <f t="shared" si="9"/>
        <v>25639040</v>
      </c>
      <c r="O9" s="29">
        <f t="shared" si="9"/>
        <v>25850660</v>
      </c>
      <c r="P9" s="29">
        <f t="shared" si="9"/>
        <v>26182020</v>
      </c>
      <c r="Q9" s="29">
        <f t="shared" si="9"/>
        <v>26548020</v>
      </c>
      <c r="R9" s="29">
        <f t="shared" si="9"/>
        <v>26950920</v>
      </c>
      <c r="S9" s="29">
        <f t="shared" si="9"/>
        <v>27561920</v>
      </c>
      <c r="T9" s="29">
        <f t="shared" si="9"/>
        <v>28229300</v>
      </c>
      <c r="U9" s="29">
        <f t="shared" si="9"/>
        <v>28948340</v>
      </c>
      <c r="V9" s="29">
        <f t="shared" si="9"/>
        <v>29941500</v>
      </c>
    </row>
    <row r="10" ht="15.75" customHeight="1">
      <c r="B10" s="32" t="s">
        <v>21</v>
      </c>
      <c r="C10" s="33">
        <f>C9/C5-1</f>
        <v>0.19766</v>
      </c>
      <c r="D10" s="33"/>
      <c r="E10" s="33"/>
      <c r="F10" s="33"/>
      <c r="G10" s="33"/>
      <c r="H10" s="33">
        <f>H9/E5-1</f>
        <v>0.19766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>
        <f>V9/J9-1</f>
        <v>0.19766</v>
      </c>
    </row>
    <row r="11" ht="15.75" customHeight="1">
      <c r="B11" s="32" t="s">
        <v>22</v>
      </c>
      <c r="K11" s="34">
        <f t="shared" ref="K11:V11" si="10">K9/J9-1</f>
        <v>0.0040368</v>
      </c>
      <c r="L11" s="34">
        <f t="shared" si="10"/>
        <v>0.005196622275</v>
      </c>
      <c r="M11" s="34">
        <f t="shared" si="10"/>
        <v>0.00806298194</v>
      </c>
      <c r="N11" s="34">
        <f t="shared" si="10"/>
        <v>0.008029943227</v>
      </c>
      <c r="O11" s="34">
        <f t="shared" si="10"/>
        <v>0.008253819176</v>
      </c>
      <c r="P11" s="34">
        <f t="shared" si="10"/>
        <v>0.01281824139</v>
      </c>
      <c r="Q11" s="34">
        <f t="shared" si="10"/>
        <v>0.01397905891</v>
      </c>
      <c r="R11" s="34">
        <f t="shared" si="10"/>
        <v>0.01517627303</v>
      </c>
      <c r="S11" s="34">
        <f t="shared" si="10"/>
        <v>0.02267084018</v>
      </c>
      <c r="T11" s="34">
        <f t="shared" si="10"/>
        <v>0.02421384287</v>
      </c>
      <c r="U11" s="34">
        <f t="shared" si="10"/>
        <v>0.02547140737</v>
      </c>
      <c r="V11" s="34">
        <f t="shared" si="10"/>
        <v>0.03430801213</v>
      </c>
    </row>
    <row r="12" ht="15.75" customHeight="1"/>
    <row r="13" ht="15.75" customHeight="1"/>
    <row r="14" ht="15.75" customHeight="1">
      <c r="B14" s="35" t="s">
        <v>23</v>
      </c>
      <c r="C14" s="36"/>
    </row>
    <row r="15" ht="15.75" customHeight="1">
      <c r="B15" s="37" t="s">
        <v>24</v>
      </c>
      <c r="C15" s="38">
        <v>3.1E7</v>
      </c>
    </row>
    <row r="16" ht="15.75" customHeight="1">
      <c r="B16" s="37" t="s">
        <v>25</v>
      </c>
      <c r="C16" s="39">
        <f>C9</f>
        <v>29941500</v>
      </c>
    </row>
    <row r="17" ht="15.75" customHeight="1">
      <c r="B17" s="37" t="s">
        <v>26</v>
      </c>
      <c r="C17" s="40">
        <f>C16-C15</f>
        <v>-1058500</v>
      </c>
    </row>
    <row r="18" ht="15.75" customHeight="1">
      <c r="B18" s="37"/>
      <c r="C18" s="41"/>
    </row>
    <row r="19" ht="15.75" customHeight="1">
      <c r="B19" s="37" t="s">
        <v>27</v>
      </c>
      <c r="C19" s="39">
        <f>sum(C6:C7)</f>
        <v>7441500</v>
      </c>
    </row>
    <row r="20" ht="15.75" customHeight="1">
      <c r="B20" s="37" t="s">
        <v>28</v>
      </c>
      <c r="C20" s="39">
        <f>SUM('Sales Capacity'!G55:R55)</f>
        <v>9075000</v>
      </c>
      <c r="D20" s="42" t="s">
        <v>29</v>
      </c>
    </row>
    <row r="21" ht="15.75" customHeight="1">
      <c r="B21" s="37"/>
      <c r="C21" s="41"/>
    </row>
    <row r="22" ht="15.75" customHeight="1">
      <c r="B22" s="43" t="s">
        <v>30</v>
      </c>
      <c r="C22" s="39">
        <f>C20-C19</f>
        <v>1633500</v>
      </c>
    </row>
    <row r="23" ht="15.75" customHeight="1">
      <c r="B23" s="44" t="s">
        <v>31</v>
      </c>
      <c r="C23" s="45">
        <f>C22/C20</f>
        <v>0.18</v>
      </c>
      <c r="D23" s="14" t="s">
        <v>32</v>
      </c>
    </row>
    <row r="24" ht="15.75" customHeight="1"/>
    <row r="25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4.5"/>
    <col customWidth="1" min="3" max="3" width="29.13"/>
    <col customWidth="1" min="4" max="4" width="19.13"/>
    <col customWidth="1" min="5" max="5" width="17.13"/>
    <col customWidth="1" min="6" max="6" width="3.5"/>
  </cols>
  <sheetData>
    <row r="1" ht="15.75" customHeight="1">
      <c r="A1" s="46"/>
      <c r="B1" s="46"/>
      <c r="C1" s="46"/>
      <c r="D1" s="46"/>
      <c r="E1" s="46"/>
      <c r="F1" s="46"/>
      <c r="G1" s="47">
        <v>45351.0</v>
      </c>
      <c r="H1" s="48">
        <f t="shared" ref="H1:AD1" si="1">EOMONTH(G1,1)</f>
        <v>45382</v>
      </c>
      <c r="I1" s="48">
        <f t="shared" si="1"/>
        <v>45412</v>
      </c>
      <c r="J1" s="48">
        <f t="shared" si="1"/>
        <v>45443</v>
      </c>
      <c r="K1" s="48">
        <f t="shared" si="1"/>
        <v>45473</v>
      </c>
      <c r="L1" s="48">
        <f t="shared" si="1"/>
        <v>45504</v>
      </c>
      <c r="M1" s="48">
        <f t="shared" si="1"/>
        <v>45535</v>
      </c>
      <c r="N1" s="48">
        <f t="shared" si="1"/>
        <v>45565</v>
      </c>
      <c r="O1" s="48">
        <f t="shared" si="1"/>
        <v>45596</v>
      </c>
      <c r="P1" s="48">
        <f t="shared" si="1"/>
        <v>45626</v>
      </c>
      <c r="Q1" s="48">
        <f t="shared" si="1"/>
        <v>45657</v>
      </c>
      <c r="R1" s="48">
        <f t="shared" si="1"/>
        <v>45688</v>
      </c>
      <c r="S1" s="48">
        <f t="shared" si="1"/>
        <v>45716</v>
      </c>
      <c r="T1" s="48">
        <f t="shared" si="1"/>
        <v>45747</v>
      </c>
      <c r="U1" s="48">
        <f t="shared" si="1"/>
        <v>45777</v>
      </c>
      <c r="V1" s="48">
        <f t="shared" si="1"/>
        <v>45808</v>
      </c>
      <c r="W1" s="48">
        <f t="shared" si="1"/>
        <v>45838</v>
      </c>
      <c r="X1" s="48">
        <f t="shared" si="1"/>
        <v>45869</v>
      </c>
      <c r="Y1" s="48">
        <f t="shared" si="1"/>
        <v>45900</v>
      </c>
      <c r="Z1" s="48">
        <f t="shared" si="1"/>
        <v>45930</v>
      </c>
      <c r="AA1" s="48">
        <f t="shared" si="1"/>
        <v>45961</v>
      </c>
      <c r="AB1" s="48">
        <f t="shared" si="1"/>
        <v>45991</v>
      </c>
      <c r="AC1" s="48">
        <f t="shared" si="1"/>
        <v>46022</v>
      </c>
      <c r="AD1" s="48">
        <f t="shared" si="1"/>
        <v>46053</v>
      </c>
    </row>
    <row r="2" ht="28.5" customHeight="1">
      <c r="A2" s="46"/>
      <c r="B2" s="49" t="s">
        <v>33</v>
      </c>
      <c r="C2" s="49" t="s">
        <v>34</v>
      </c>
      <c r="D2" s="50" t="s">
        <v>35</v>
      </c>
      <c r="E2" s="50" t="s">
        <v>36</v>
      </c>
      <c r="F2" s="46"/>
      <c r="G2" s="51" t="str">
        <f t="shared" ref="G2:AD2" si="2">SWITCH(MONTH(G1),2,"Q1",3,"Q1",4,"Q1",5,"Q2",6,"Q2",7,"Q2",8,"Q3",9,"Q3",10,"Q3","Q4")&amp;"M"&amp;SWITCH(MONTH(G1),2,"1",3,"2",4,"3",5,"1",6,"2",7,"3",8,"1",9,"2",10,"3",11,"2",12,"2",1,"3",)&amp;"FY"&amp;IF(MONTH(G1)=1,TEXT(G1,"yy"),TEXT(DATE(YEAR(G1)+1,MONTH(G1),DAY(G1)),"yy"))</f>
        <v>Q1M1FY25</v>
      </c>
      <c r="H2" s="51" t="str">
        <f t="shared" si="2"/>
        <v>Q1M2FY25</v>
      </c>
      <c r="I2" s="51" t="str">
        <f t="shared" si="2"/>
        <v>Q1M3FY25</v>
      </c>
      <c r="J2" s="51" t="str">
        <f t="shared" si="2"/>
        <v>Q2M1FY25</v>
      </c>
      <c r="K2" s="51" t="str">
        <f t="shared" si="2"/>
        <v>Q2M2FY25</v>
      </c>
      <c r="L2" s="51" t="str">
        <f t="shared" si="2"/>
        <v>Q2M3FY25</v>
      </c>
      <c r="M2" s="51" t="str">
        <f t="shared" si="2"/>
        <v>Q3M1FY25</v>
      </c>
      <c r="N2" s="51" t="str">
        <f t="shared" si="2"/>
        <v>Q3M2FY25</v>
      </c>
      <c r="O2" s="51" t="str">
        <f t="shared" si="2"/>
        <v>Q3M3FY25</v>
      </c>
      <c r="P2" s="51" t="str">
        <f t="shared" si="2"/>
        <v>Q4M2FY25</v>
      </c>
      <c r="Q2" s="51" t="str">
        <f t="shared" si="2"/>
        <v>Q4M2FY25</v>
      </c>
      <c r="R2" s="51" t="str">
        <f t="shared" si="2"/>
        <v>Q4M3FY25</v>
      </c>
      <c r="S2" s="52" t="str">
        <f t="shared" si="2"/>
        <v>Q1M1FY26</v>
      </c>
      <c r="T2" s="52" t="str">
        <f t="shared" si="2"/>
        <v>Q1M2FY26</v>
      </c>
      <c r="U2" s="52" t="str">
        <f t="shared" si="2"/>
        <v>Q1M3FY26</v>
      </c>
      <c r="V2" s="52" t="str">
        <f t="shared" si="2"/>
        <v>Q2M1FY26</v>
      </c>
      <c r="W2" s="52" t="str">
        <f t="shared" si="2"/>
        <v>Q2M2FY26</v>
      </c>
      <c r="X2" s="52" t="str">
        <f t="shared" si="2"/>
        <v>Q2M3FY26</v>
      </c>
      <c r="Y2" s="52" t="str">
        <f t="shared" si="2"/>
        <v>Q3M1FY26</v>
      </c>
      <c r="Z2" s="52" t="str">
        <f t="shared" si="2"/>
        <v>Q3M2FY26</v>
      </c>
      <c r="AA2" s="52" t="str">
        <f t="shared" si="2"/>
        <v>Q3M3FY26</v>
      </c>
      <c r="AB2" s="52" t="str">
        <f t="shared" si="2"/>
        <v>Q4M2FY26</v>
      </c>
      <c r="AC2" s="52" t="str">
        <f t="shared" si="2"/>
        <v>Q4M2FY26</v>
      </c>
      <c r="AD2" s="52" t="str">
        <f t="shared" si="2"/>
        <v>Q4M3FY26</v>
      </c>
    </row>
    <row r="3" ht="15.75" customHeight="1">
      <c r="A3" s="46"/>
      <c r="B3" s="53"/>
      <c r="C3" s="54"/>
      <c r="D3" s="55"/>
      <c r="E3" s="56"/>
      <c r="F3" s="46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</row>
    <row r="4" ht="15.75" customHeight="1">
      <c r="A4" s="46"/>
      <c r="B4" s="58" t="s">
        <v>37</v>
      </c>
      <c r="C4" s="59"/>
      <c r="D4" s="60"/>
      <c r="E4" s="61"/>
      <c r="F4" s="62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</row>
    <row r="5" ht="15.75" customHeight="1">
      <c r="A5" s="46"/>
      <c r="B5" s="64" t="s">
        <v>38</v>
      </c>
      <c r="C5" s="54" t="s">
        <v>39</v>
      </c>
      <c r="D5" s="65">
        <v>44562.0</v>
      </c>
      <c r="E5" s="66" t="s">
        <v>40</v>
      </c>
      <c r="F5" s="46"/>
      <c r="G5" s="67">
        <f t="array" ref="G5">if(AND($E5&lt;G$1,$E5&lt;&gt;0),0,iferror(INDEX(Drivers!$C$11:$N$13,MATCH($C5,Drivers!$B$11:$B$13,0),MATCH(min(((year(G$1)-YEAR($D5))*12+MONTH(G$1)-MONTH($D5)),12),Drivers!$C$10:$N$10))))</f>
        <v>1</v>
      </c>
      <c r="H5" s="67">
        <f t="array" ref="H5">if(AND($E5&lt;H$1,$E5&lt;&gt;0),0,iferror(INDEX(Drivers!$C$11:$N$13,MATCH($C5,Drivers!$B$11:$B$13,0),MATCH(min(((year(H$1)-YEAR($D5))*12+MONTH(H$1)-MONTH($D5)),12),Drivers!$C$10:$N$10))))</f>
        <v>1</v>
      </c>
      <c r="I5" s="67">
        <f t="array" ref="I5">if(AND($E5&lt;I$1,$E5&lt;&gt;0),0,iferror(INDEX(Drivers!$C$11:$N$13,MATCH($C5,Drivers!$B$11:$B$13,0),MATCH(min(((year(I$1)-YEAR($D5))*12+MONTH(I$1)-MONTH($D5)),12),Drivers!$C$10:$N$10))))</f>
        <v>1</v>
      </c>
      <c r="J5" s="67">
        <f t="array" ref="J5">if(AND($E5&lt;J$1,$E5&lt;&gt;0),0,iferror(INDEX(Drivers!$C$11:$N$13,MATCH($C5,Drivers!$B$11:$B$13,0),MATCH(min(((year(J$1)-YEAR($D5))*12+MONTH(J$1)-MONTH($D5)),12),Drivers!$C$10:$N$10))))</f>
        <v>1</v>
      </c>
      <c r="K5" s="67">
        <f t="array" ref="K5">if(AND($E5&lt;K$1,$E5&lt;&gt;0),0,iferror(INDEX(Drivers!$C$11:$N$13,MATCH($C5,Drivers!$B$11:$B$13,0),MATCH(min(((year(K$1)-YEAR($D5))*12+MONTH(K$1)-MONTH($D5)),12),Drivers!$C$10:$N$10))))</f>
        <v>1</v>
      </c>
      <c r="L5" s="67">
        <f t="array" ref="L5">if(AND($E5&lt;L$1,$E5&lt;&gt;0),0,iferror(INDEX(Drivers!$C$11:$N$13,MATCH($C5,Drivers!$B$11:$B$13,0),MATCH(min(((year(L$1)-YEAR($D5))*12+MONTH(L$1)-MONTH($D5)),12),Drivers!$C$10:$N$10))))</f>
        <v>1</v>
      </c>
      <c r="M5" s="67">
        <f t="array" ref="M5">if(AND($E5&lt;M$1,$E5&lt;&gt;0),0,iferror(INDEX(Drivers!$C$11:$N$13,MATCH($C5,Drivers!$B$11:$B$13,0),MATCH(min(((year(M$1)-YEAR($D5))*12+MONTH(M$1)-MONTH($D5)),12),Drivers!$C$10:$N$10))))</f>
        <v>1</v>
      </c>
      <c r="N5" s="67">
        <f t="array" ref="N5">if(AND($E5&lt;N$1,$E5&lt;&gt;0),0,iferror(INDEX(Drivers!$C$11:$N$13,MATCH($C5,Drivers!$B$11:$B$13,0),MATCH(min(((year(N$1)-YEAR($D5))*12+MONTH(N$1)-MONTH($D5)),12),Drivers!$C$10:$N$10))))</f>
        <v>1</v>
      </c>
      <c r="O5" s="67">
        <f t="array" ref="O5">if(AND($E5&lt;O$1,$E5&lt;&gt;0),0,iferror(INDEX(Drivers!$C$11:$N$13,MATCH($C5,Drivers!$B$11:$B$13,0),MATCH(min(((year(O$1)-YEAR($D5))*12+MONTH(O$1)-MONTH($D5)),12),Drivers!$C$10:$N$10))))</f>
        <v>1</v>
      </c>
      <c r="P5" s="67">
        <f t="array" ref="P5">if(AND($E5&lt;P$1,$E5&lt;&gt;0),0,iferror(INDEX(Drivers!$C$11:$N$13,MATCH($C5,Drivers!$B$11:$B$13,0),MATCH(min(((year(P$1)-YEAR($D5))*12+MONTH(P$1)-MONTH($D5)),12),Drivers!$C$10:$N$10))))</f>
        <v>1</v>
      </c>
      <c r="Q5" s="67">
        <f t="array" ref="Q5">if(AND($E5&lt;Q$1,$E5&lt;&gt;0),0,iferror(INDEX(Drivers!$C$11:$N$13,MATCH($C5,Drivers!$B$11:$B$13,0),MATCH(min(((year(Q$1)-YEAR($D5))*12+MONTH(Q$1)-MONTH($D5)),12),Drivers!$C$10:$N$10))))</f>
        <v>1</v>
      </c>
      <c r="R5" s="67">
        <f t="array" ref="R5">if(AND($E5&lt;R$1,$E5&lt;&gt;0),0,iferror(INDEX(Drivers!$C$11:$N$13,MATCH($C5,Drivers!$B$11:$B$13,0),MATCH(min(((year(R$1)-YEAR($D5))*12+MONTH(R$1)-MONTH($D5)),12),Drivers!$C$10:$N$10))))</f>
        <v>1</v>
      </c>
      <c r="S5" s="67">
        <f t="array" ref="S5">if(AND($E5&lt;S$1,$E5&lt;&gt;0),0,iferror(INDEX(Drivers!$C$11:$N$13,MATCH($C5,Drivers!$B$11:$B$13,0),MATCH(min(((year(S$1)-YEAR($D5))*12+MONTH(S$1)-MONTH($D5)),12),Drivers!$C$10:$N$10))))</f>
        <v>1</v>
      </c>
      <c r="T5" s="67">
        <f t="array" ref="T5">if(AND($E5&lt;T$1,$E5&lt;&gt;0),0,iferror(INDEX(Drivers!$C$11:$N$13,MATCH($C5,Drivers!$B$11:$B$13,0),MATCH(min(((year(T$1)-YEAR($D5))*12+MONTH(T$1)-MONTH($D5)),12),Drivers!$C$10:$N$10))))</f>
        <v>1</v>
      </c>
      <c r="U5" s="67">
        <f t="array" ref="U5">if(AND($E5&lt;U$1,$E5&lt;&gt;0),0,iferror(INDEX(Drivers!$C$11:$N$13,MATCH($C5,Drivers!$B$11:$B$13,0),MATCH(min(((year(U$1)-YEAR($D5))*12+MONTH(U$1)-MONTH($D5)),12),Drivers!$C$10:$N$10))))</f>
        <v>1</v>
      </c>
      <c r="V5" s="67">
        <f t="array" ref="V5">if(AND($E5&lt;V$1,$E5&lt;&gt;0),0,iferror(INDEX(Drivers!$C$11:$N$13,MATCH($C5,Drivers!$B$11:$B$13,0),MATCH(min(((year(V$1)-YEAR($D5))*12+MONTH(V$1)-MONTH($D5)),12),Drivers!$C$10:$N$10))))</f>
        <v>1</v>
      </c>
      <c r="W5" s="67">
        <f t="array" ref="W5">if(AND($E5&lt;W$1,$E5&lt;&gt;0),0,iferror(INDEX(Drivers!$C$11:$N$13,MATCH($C5,Drivers!$B$11:$B$13,0),MATCH(min(((year(W$1)-YEAR($D5))*12+MONTH(W$1)-MONTH($D5)),12),Drivers!$C$10:$N$10))))</f>
        <v>1</v>
      </c>
      <c r="X5" s="67">
        <f t="array" ref="X5">if(AND($E5&lt;X$1,$E5&lt;&gt;0),0,iferror(INDEX(Drivers!$C$11:$N$13,MATCH($C5,Drivers!$B$11:$B$13,0),MATCH(min(((year(X$1)-YEAR($D5))*12+MONTH(X$1)-MONTH($D5)),12),Drivers!$C$10:$N$10))))</f>
        <v>1</v>
      </c>
      <c r="Y5" s="67">
        <f t="array" ref="Y5">if(AND($E5&lt;Y$1,$E5&lt;&gt;0),0,iferror(INDEX(Drivers!$C$11:$N$13,MATCH($C5,Drivers!$B$11:$B$13,0),MATCH(min(((year(Y$1)-YEAR($D5))*12+MONTH(Y$1)-MONTH($D5)),12),Drivers!$C$10:$N$10))))</f>
        <v>1</v>
      </c>
      <c r="Z5" s="67">
        <f t="array" ref="Z5">if(AND($E5&lt;Z$1,$E5&lt;&gt;0),0,iferror(INDEX(Drivers!$C$11:$N$13,MATCH($C5,Drivers!$B$11:$B$13,0),MATCH(min(((year(Z$1)-YEAR($D5))*12+MONTH(Z$1)-MONTH($D5)),12),Drivers!$C$10:$N$10))))</f>
        <v>1</v>
      </c>
      <c r="AA5" s="67">
        <f t="array" ref="AA5">if(AND($E5&lt;AA$1,$E5&lt;&gt;0),0,iferror(INDEX(Drivers!$C$11:$N$13,MATCH($C5,Drivers!$B$11:$B$13,0),MATCH(min(((year(AA$1)-YEAR($D5))*12+MONTH(AA$1)-MONTH($D5)),12),Drivers!$C$10:$N$10))))</f>
        <v>1</v>
      </c>
      <c r="AB5" s="67">
        <f t="array" ref="AB5">if(AND($E5&lt;AB$1,$E5&lt;&gt;0),0,iferror(INDEX(Drivers!$C$11:$N$13,MATCH($C5,Drivers!$B$11:$B$13,0),MATCH(min(((year(AB$1)-YEAR($D5))*12+MONTH(AB$1)-MONTH($D5)),12),Drivers!$C$10:$N$10))))</f>
        <v>1</v>
      </c>
      <c r="AC5" s="67">
        <f t="array" ref="AC5">if(AND($E5&lt;AC$1,$E5&lt;&gt;0),0,iferror(INDEX(Drivers!$C$11:$N$13,MATCH($C5,Drivers!$B$11:$B$13,0),MATCH(min(((year(AC$1)-YEAR($D5))*12+MONTH(AC$1)-MONTH($D5)),12),Drivers!$C$10:$N$10))))</f>
        <v>1</v>
      </c>
      <c r="AD5" s="67">
        <f t="array" ref="AD5">if(AND($E5&lt;AD$1,$E5&lt;&gt;0),0,iferror(INDEX(Drivers!$C$11:$N$13,MATCH($C5,Drivers!$B$11:$B$13,0),MATCH(min(((year(AD$1)-YEAR($D5))*12+MONTH(AD$1)-MONTH($D5)),12),Drivers!$C$10:$N$10))))</f>
        <v>1</v>
      </c>
    </row>
    <row r="6" ht="15.75" customHeight="1">
      <c r="A6" s="46"/>
      <c r="B6" s="64" t="s">
        <v>41</v>
      </c>
      <c r="C6" s="54" t="s">
        <v>42</v>
      </c>
      <c r="D6" s="65">
        <v>44652.0</v>
      </c>
      <c r="E6" s="66" t="s">
        <v>40</v>
      </c>
      <c r="F6" s="46"/>
      <c r="G6" s="67">
        <f t="array" ref="G6">if(AND($E6&lt;G$1,$E6&lt;&gt;0),0,iferror(INDEX(Drivers!$C$11:$N$13,MATCH($C6,Drivers!$B$11:$B$13,0),MATCH(min(((year(G$1)-YEAR($D6))*12+MONTH(G$1)-MONTH($D6)),12),Drivers!$C$10:$N$10))))</f>
        <v>1</v>
      </c>
      <c r="H6" s="67">
        <f t="array" ref="H6">if(AND($E6&lt;H$1,$E6&lt;&gt;0),0,iferror(INDEX(Drivers!$C$11:$N$13,MATCH($C6,Drivers!$B$11:$B$13,0),MATCH(min(((year(H$1)-YEAR($D6))*12+MONTH(H$1)-MONTH($D6)),12),Drivers!$C$10:$N$10))))</f>
        <v>1</v>
      </c>
      <c r="I6" s="67">
        <f t="array" ref="I6">if(AND($E6&lt;I$1,$E6&lt;&gt;0),0,iferror(INDEX(Drivers!$C$11:$N$13,MATCH($C6,Drivers!$B$11:$B$13,0),MATCH(min(((year(I$1)-YEAR($D6))*12+MONTH(I$1)-MONTH($D6)),12),Drivers!$C$10:$N$10))))</f>
        <v>1</v>
      </c>
      <c r="J6" s="67">
        <f t="array" ref="J6">if(AND($E6&lt;J$1,$E6&lt;&gt;0),0,iferror(INDEX(Drivers!$C$11:$N$13,MATCH($C6,Drivers!$B$11:$B$13,0),MATCH(min(((year(J$1)-YEAR($D6))*12+MONTH(J$1)-MONTH($D6)),12),Drivers!$C$10:$N$10))))</f>
        <v>1</v>
      </c>
      <c r="K6" s="67">
        <f t="array" ref="K6">if(AND($E6&lt;K$1,$E6&lt;&gt;0),0,iferror(INDEX(Drivers!$C$11:$N$13,MATCH($C6,Drivers!$B$11:$B$13,0),MATCH(min(((year(K$1)-YEAR($D6))*12+MONTH(K$1)-MONTH($D6)),12),Drivers!$C$10:$N$10))))</f>
        <v>1</v>
      </c>
      <c r="L6" s="67">
        <f t="array" ref="L6">if(AND($E6&lt;L$1,$E6&lt;&gt;0),0,iferror(INDEX(Drivers!$C$11:$N$13,MATCH($C6,Drivers!$B$11:$B$13,0),MATCH(min(((year(L$1)-YEAR($D6))*12+MONTH(L$1)-MONTH($D6)),12),Drivers!$C$10:$N$10))))</f>
        <v>1</v>
      </c>
      <c r="M6" s="67">
        <f t="array" ref="M6">if(AND($E6&lt;M$1,$E6&lt;&gt;0),0,iferror(INDEX(Drivers!$C$11:$N$13,MATCH($C6,Drivers!$B$11:$B$13,0),MATCH(min(((year(M$1)-YEAR($D6))*12+MONTH(M$1)-MONTH($D6)),12),Drivers!$C$10:$N$10))))</f>
        <v>1</v>
      </c>
      <c r="N6" s="67">
        <f t="array" ref="N6">if(AND($E6&lt;N$1,$E6&lt;&gt;0),0,iferror(INDEX(Drivers!$C$11:$N$13,MATCH($C6,Drivers!$B$11:$B$13,0),MATCH(min(((year(N$1)-YEAR($D6))*12+MONTH(N$1)-MONTH($D6)),12),Drivers!$C$10:$N$10))))</f>
        <v>1</v>
      </c>
      <c r="O6" s="67">
        <f t="array" ref="O6">if(AND($E6&lt;O$1,$E6&lt;&gt;0),0,iferror(INDEX(Drivers!$C$11:$N$13,MATCH($C6,Drivers!$B$11:$B$13,0),MATCH(min(((year(O$1)-YEAR($D6))*12+MONTH(O$1)-MONTH($D6)),12),Drivers!$C$10:$N$10))))</f>
        <v>1</v>
      </c>
      <c r="P6" s="67">
        <f t="array" ref="P6">if(AND($E6&lt;P$1,$E6&lt;&gt;0),0,iferror(INDEX(Drivers!$C$11:$N$13,MATCH($C6,Drivers!$B$11:$B$13,0),MATCH(min(((year(P$1)-YEAR($D6))*12+MONTH(P$1)-MONTH($D6)),12),Drivers!$C$10:$N$10))))</f>
        <v>1</v>
      </c>
      <c r="Q6" s="67">
        <f t="array" ref="Q6">if(AND($E6&lt;Q$1,$E6&lt;&gt;0),0,iferror(INDEX(Drivers!$C$11:$N$13,MATCH($C6,Drivers!$B$11:$B$13,0),MATCH(min(((year(Q$1)-YEAR($D6))*12+MONTH(Q$1)-MONTH($D6)),12),Drivers!$C$10:$N$10))))</f>
        <v>1</v>
      </c>
      <c r="R6" s="67">
        <f t="array" ref="R6">if(AND($E6&lt;R$1,$E6&lt;&gt;0),0,iferror(INDEX(Drivers!$C$11:$N$13,MATCH($C6,Drivers!$B$11:$B$13,0),MATCH(min(((year(R$1)-YEAR($D6))*12+MONTH(R$1)-MONTH($D6)),12),Drivers!$C$10:$N$10))))</f>
        <v>1</v>
      </c>
      <c r="S6" s="67">
        <f t="array" ref="S6">if(AND($E6&lt;S$1,$E6&lt;&gt;0),0,iferror(INDEX(Drivers!$C$11:$N$13,MATCH($C6,Drivers!$B$11:$B$13,0),MATCH(min(((year(S$1)-YEAR($D6))*12+MONTH(S$1)-MONTH($D6)),12),Drivers!$C$10:$N$10))))</f>
        <v>1</v>
      </c>
      <c r="T6" s="67">
        <f t="array" ref="T6">if(AND($E6&lt;T$1,$E6&lt;&gt;0),0,iferror(INDEX(Drivers!$C$11:$N$13,MATCH($C6,Drivers!$B$11:$B$13,0),MATCH(min(((year(T$1)-YEAR($D6))*12+MONTH(T$1)-MONTH($D6)),12),Drivers!$C$10:$N$10))))</f>
        <v>1</v>
      </c>
      <c r="U6" s="67">
        <f t="array" ref="U6">if(AND($E6&lt;U$1,$E6&lt;&gt;0),0,iferror(INDEX(Drivers!$C$11:$N$13,MATCH($C6,Drivers!$B$11:$B$13,0),MATCH(min(((year(U$1)-YEAR($D6))*12+MONTH(U$1)-MONTH($D6)),12),Drivers!$C$10:$N$10))))</f>
        <v>1</v>
      </c>
      <c r="V6" s="67">
        <f t="array" ref="V6">if(AND($E6&lt;V$1,$E6&lt;&gt;0),0,iferror(INDEX(Drivers!$C$11:$N$13,MATCH($C6,Drivers!$B$11:$B$13,0),MATCH(min(((year(V$1)-YEAR($D6))*12+MONTH(V$1)-MONTH($D6)),12),Drivers!$C$10:$N$10))))</f>
        <v>1</v>
      </c>
      <c r="W6" s="67">
        <f t="array" ref="W6">if(AND($E6&lt;W$1,$E6&lt;&gt;0),0,iferror(INDEX(Drivers!$C$11:$N$13,MATCH($C6,Drivers!$B$11:$B$13,0),MATCH(min(((year(W$1)-YEAR($D6))*12+MONTH(W$1)-MONTH($D6)),12),Drivers!$C$10:$N$10))))</f>
        <v>1</v>
      </c>
      <c r="X6" s="67">
        <f t="array" ref="X6">if(AND($E6&lt;X$1,$E6&lt;&gt;0),0,iferror(INDEX(Drivers!$C$11:$N$13,MATCH($C6,Drivers!$B$11:$B$13,0),MATCH(min(((year(X$1)-YEAR($D6))*12+MONTH(X$1)-MONTH($D6)),12),Drivers!$C$10:$N$10))))</f>
        <v>1</v>
      </c>
      <c r="Y6" s="67">
        <f t="array" ref="Y6">if(AND($E6&lt;Y$1,$E6&lt;&gt;0),0,iferror(INDEX(Drivers!$C$11:$N$13,MATCH($C6,Drivers!$B$11:$B$13,0),MATCH(min(((year(Y$1)-YEAR($D6))*12+MONTH(Y$1)-MONTH($D6)),12),Drivers!$C$10:$N$10))))</f>
        <v>1</v>
      </c>
      <c r="Z6" s="67">
        <f t="array" ref="Z6">if(AND($E6&lt;Z$1,$E6&lt;&gt;0),0,iferror(INDEX(Drivers!$C$11:$N$13,MATCH($C6,Drivers!$B$11:$B$13,0),MATCH(min(((year(Z$1)-YEAR($D6))*12+MONTH(Z$1)-MONTH($D6)),12),Drivers!$C$10:$N$10))))</f>
        <v>1</v>
      </c>
      <c r="AA6" s="67">
        <f t="array" ref="AA6">if(AND($E6&lt;AA$1,$E6&lt;&gt;0),0,iferror(INDEX(Drivers!$C$11:$N$13,MATCH($C6,Drivers!$B$11:$B$13,0),MATCH(min(((year(AA$1)-YEAR($D6))*12+MONTH(AA$1)-MONTH($D6)),12),Drivers!$C$10:$N$10))))</f>
        <v>1</v>
      </c>
      <c r="AB6" s="67">
        <f t="array" ref="AB6">if(AND($E6&lt;AB$1,$E6&lt;&gt;0),0,iferror(INDEX(Drivers!$C$11:$N$13,MATCH($C6,Drivers!$B$11:$B$13,0),MATCH(min(((year(AB$1)-YEAR($D6))*12+MONTH(AB$1)-MONTH($D6)),12),Drivers!$C$10:$N$10))))</f>
        <v>1</v>
      </c>
      <c r="AC6" s="67">
        <f t="array" ref="AC6">if(AND($E6&lt;AC$1,$E6&lt;&gt;0),0,iferror(INDEX(Drivers!$C$11:$N$13,MATCH($C6,Drivers!$B$11:$B$13,0),MATCH(min(((year(AC$1)-YEAR($D6))*12+MONTH(AC$1)-MONTH($D6)),12),Drivers!$C$10:$N$10))))</f>
        <v>1</v>
      </c>
      <c r="AD6" s="67">
        <f t="array" ref="AD6">if(AND($E6&lt;AD$1,$E6&lt;&gt;0),0,iferror(INDEX(Drivers!$C$11:$N$13,MATCH($C6,Drivers!$B$11:$B$13,0),MATCH(min(((year(AD$1)-YEAR($D6))*12+MONTH(AD$1)-MONTH($D6)),12),Drivers!$C$10:$N$10))))</f>
        <v>1</v>
      </c>
    </row>
    <row r="7" ht="15.75" customHeight="1">
      <c r="A7" s="46"/>
      <c r="B7" s="64" t="s">
        <v>43</v>
      </c>
      <c r="C7" s="54" t="s">
        <v>39</v>
      </c>
      <c r="D7" s="65">
        <v>44835.0</v>
      </c>
      <c r="E7" s="66" t="s">
        <v>40</v>
      </c>
      <c r="F7" s="46"/>
      <c r="G7" s="67">
        <f t="array" ref="G7">if(AND($E7&lt;G$1,$E7&lt;&gt;0),0,iferror(INDEX(Drivers!$C$11:$N$13,MATCH($C7,Drivers!$B$11:$B$13,0),MATCH(min(((year(G$1)-YEAR($D7))*12+MONTH(G$1)-MONTH($D7)),12),Drivers!$C$10:$N$10))))</f>
        <v>1</v>
      </c>
      <c r="H7" s="67">
        <f t="array" ref="H7">if(AND($E7&lt;H$1,$E7&lt;&gt;0),0,iferror(INDEX(Drivers!$C$11:$N$13,MATCH($C7,Drivers!$B$11:$B$13,0),MATCH(min(((year(H$1)-YEAR($D7))*12+MONTH(H$1)-MONTH($D7)),12),Drivers!$C$10:$N$10))))</f>
        <v>1</v>
      </c>
      <c r="I7" s="67">
        <f t="array" ref="I7">if(AND($E7&lt;I$1,$E7&lt;&gt;0),0,iferror(INDEX(Drivers!$C$11:$N$13,MATCH($C7,Drivers!$B$11:$B$13,0),MATCH(min(((year(I$1)-YEAR($D7))*12+MONTH(I$1)-MONTH($D7)),12),Drivers!$C$10:$N$10))))</f>
        <v>1</v>
      </c>
      <c r="J7" s="67">
        <f t="array" ref="J7">if(AND($E7&lt;J$1,$E7&lt;&gt;0),0,iferror(INDEX(Drivers!$C$11:$N$13,MATCH($C7,Drivers!$B$11:$B$13,0),MATCH(min(((year(J$1)-YEAR($D7))*12+MONTH(J$1)-MONTH($D7)),12),Drivers!$C$10:$N$10))))</f>
        <v>1</v>
      </c>
      <c r="K7" s="67">
        <f t="array" ref="K7">if(AND($E7&lt;K$1,$E7&lt;&gt;0),0,iferror(INDEX(Drivers!$C$11:$N$13,MATCH($C7,Drivers!$B$11:$B$13,0),MATCH(min(((year(K$1)-YEAR($D7))*12+MONTH(K$1)-MONTH($D7)),12),Drivers!$C$10:$N$10))))</f>
        <v>1</v>
      </c>
      <c r="L7" s="67">
        <f t="array" ref="L7">if(AND($E7&lt;L$1,$E7&lt;&gt;0),0,iferror(INDEX(Drivers!$C$11:$N$13,MATCH($C7,Drivers!$B$11:$B$13,0),MATCH(min(((year(L$1)-YEAR($D7))*12+MONTH(L$1)-MONTH($D7)),12),Drivers!$C$10:$N$10))))</f>
        <v>1</v>
      </c>
      <c r="M7" s="67">
        <f t="array" ref="M7">if(AND($E7&lt;M$1,$E7&lt;&gt;0),0,iferror(INDEX(Drivers!$C$11:$N$13,MATCH($C7,Drivers!$B$11:$B$13,0),MATCH(min(((year(M$1)-YEAR($D7))*12+MONTH(M$1)-MONTH($D7)),12),Drivers!$C$10:$N$10))))</f>
        <v>1</v>
      </c>
      <c r="N7" s="67">
        <f t="array" ref="N7">if(AND($E7&lt;N$1,$E7&lt;&gt;0),0,iferror(INDEX(Drivers!$C$11:$N$13,MATCH($C7,Drivers!$B$11:$B$13,0),MATCH(min(((year(N$1)-YEAR($D7))*12+MONTH(N$1)-MONTH($D7)),12),Drivers!$C$10:$N$10))))</f>
        <v>1</v>
      </c>
      <c r="O7" s="67">
        <f t="array" ref="O7">if(AND($E7&lt;O$1,$E7&lt;&gt;0),0,iferror(INDEX(Drivers!$C$11:$N$13,MATCH($C7,Drivers!$B$11:$B$13,0),MATCH(min(((year(O$1)-YEAR($D7))*12+MONTH(O$1)-MONTH($D7)),12),Drivers!$C$10:$N$10))))</f>
        <v>1</v>
      </c>
      <c r="P7" s="67">
        <f t="array" ref="P7">if(AND($E7&lt;P$1,$E7&lt;&gt;0),0,iferror(INDEX(Drivers!$C$11:$N$13,MATCH($C7,Drivers!$B$11:$B$13,0),MATCH(min(((year(P$1)-YEAR($D7))*12+MONTH(P$1)-MONTH($D7)),12),Drivers!$C$10:$N$10))))</f>
        <v>1</v>
      </c>
      <c r="Q7" s="67">
        <f t="array" ref="Q7">if(AND($E7&lt;Q$1,$E7&lt;&gt;0),0,iferror(INDEX(Drivers!$C$11:$N$13,MATCH($C7,Drivers!$B$11:$B$13,0),MATCH(min(((year(Q$1)-YEAR($D7))*12+MONTH(Q$1)-MONTH($D7)),12),Drivers!$C$10:$N$10))))</f>
        <v>1</v>
      </c>
      <c r="R7" s="67">
        <f t="array" ref="R7">if(AND($E7&lt;R$1,$E7&lt;&gt;0),0,iferror(INDEX(Drivers!$C$11:$N$13,MATCH($C7,Drivers!$B$11:$B$13,0),MATCH(min(((year(R$1)-YEAR($D7))*12+MONTH(R$1)-MONTH($D7)),12),Drivers!$C$10:$N$10))))</f>
        <v>1</v>
      </c>
      <c r="S7" s="67">
        <f t="array" ref="S7">if(AND($E7&lt;S$1,$E7&lt;&gt;0),0,iferror(INDEX(Drivers!$C$11:$N$13,MATCH($C7,Drivers!$B$11:$B$13,0),MATCH(min(((year(S$1)-YEAR($D7))*12+MONTH(S$1)-MONTH($D7)),12),Drivers!$C$10:$N$10))))</f>
        <v>1</v>
      </c>
      <c r="T7" s="67">
        <f t="array" ref="T7">if(AND($E7&lt;T$1,$E7&lt;&gt;0),0,iferror(INDEX(Drivers!$C$11:$N$13,MATCH($C7,Drivers!$B$11:$B$13,0),MATCH(min(((year(T$1)-YEAR($D7))*12+MONTH(T$1)-MONTH($D7)),12),Drivers!$C$10:$N$10))))</f>
        <v>1</v>
      </c>
      <c r="U7" s="67">
        <f t="array" ref="U7">if(AND($E7&lt;U$1,$E7&lt;&gt;0),0,iferror(INDEX(Drivers!$C$11:$N$13,MATCH($C7,Drivers!$B$11:$B$13,0),MATCH(min(((year(U$1)-YEAR($D7))*12+MONTH(U$1)-MONTH($D7)),12),Drivers!$C$10:$N$10))))</f>
        <v>1</v>
      </c>
      <c r="V7" s="67">
        <f t="array" ref="V7">if(AND($E7&lt;V$1,$E7&lt;&gt;0),0,iferror(INDEX(Drivers!$C$11:$N$13,MATCH($C7,Drivers!$B$11:$B$13,0),MATCH(min(((year(V$1)-YEAR($D7))*12+MONTH(V$1)-MONTH($D7)),12),Drivers!$C$10:$N$10))))</f>
        <v>1</v>
      </c>
      <c r="W7" s="67">
        <f t="array" ref="W7">if(AND($E7&lt;W$1,$E7&lt;&gt;0),0,iferror(INDEX(Drivers!$C$11:$N$13,MATCH($C7,Drivers!$B$11:$B$13,0),MATCH(min(((year(W$1)-YEAR($D7))*12+MONTH(W$1)-MONTH($D7)),12),Drivers!$C$10:$N$10))))</f>
        <v>1</v>
      </c>
      <c r="X7" s="67">
        <f t="array" ref="X7">if(AND($E7&lt;X$1,$E7&lt;&gt;0),0,iferror(INDEX(Drivers!$C$11:$N$13,MATCH($C7,Drivers!$B$11:$B$13,0),MATCH(min(((year(X$1)-YEAR($D7))*12+MONTH(X$1)-MONTH($D7)),12),Drivers!$C$10:$N$10))))</f>
        <v>1</v>
      </c>
      <c r="Y7" s="67">
        <f t="array" ref="Y7">if(AND($E7&lt;Y$1,$E7&lt;&gt;0),0,iferror(INDEX(Drivers!$C$11:$N$13,MATCH($C7,Drivers!$B$11:$B$13,0),MATCH(min(((year(Y$1)-YEAR($D7))*12+MONTH(Y$1)-MONTH($D7)),12),Drivers!$C$10:$N$10))))</f>
        <v>1</v>
      </c>
      <c r="Z7" s="67">
        <f t="array" ref="Z7">if(AND($E7&lt;Z$1,$E7&lt;&gt;0),0,iferror(INDEX(Drivers!$C$11:$N$13,MATCH($C7,Drivers!$B$11:$B$13,0),MATCH(min(((year(Z$1)-YEAR($D7))*12+MONTH(Z$1)-MONTH($D7)),12),Drivers!$C$10:$N$10))))</f>
        <v>1</v>
      </c>
      <c r="AA7" s="67">
        <f t="array" ref="AA7">if(AND($E7&lt;AA$1,$E7&lt;&gt;0),0,iferror(INDEX(Drivers!$C$11:$N$13,MATCH($C7,Drivers!$B$11:$B$13,0),MATCH(min(((year(AA$1)-YEAR($D7))*12+MONTH(AA$1)-MONTH($D7)),12),Drivers!$C$10:$N$10))))</f>
        <v>1</v>
      </c>
      <c r="AB7" s="67">
        <f t="array" ref="AB7">if(AND($E7&lt;AB$1,$E7&lt;&gt;0),0,iferror(INDEX(Drivers!$C$11:$N$13,MATCH($C7,Drivers!$B$11:$B$13,0),MATCH(min(((year(AB$1)-YEAR($D7))*12+MONTH(AB$1)-MONTH($D7)),12),Drivers!$C$10:$N$10))))</f>
        <v>1</v>
      </c>
      <c r="AC7" s="67">
        <f t="array" ref="AC7">if(AND($E7&lt;AC$1,$E7&lt;&gt;0),0,iferror(INDEX(Drivers!$C$11:$N$13,MATCH($C7,Drivers!$B$11:$B$13,0),MATCH(min(((year(AC$1)-YEAR($D7))*12+MONTH(AC$1)-MONTH($D7)),12),Drivers!$C$10:$N$10))))</f>
        <v>1</v>
      </c>
      <c r="AD7" s="67">
        <f t="array" ref="AD7">if(AND($E7&lt;AD$1,$E7&lt;&gt;0),0,iferror(INDEX(Drivers!$C$11:$N$13,MATCH($C7,Drivers!$B$11:$B$13,0),MATCH(min(((year(AD$1)-YEAR($D7))*12+MONTH(AD$1)-MONTH($D7)),12),Drivers!$C$10:$N$10))))</f>
        <v>1</v>
      </c>
    </row>
    <row r="8" ht="15.75" customHeight="1">
      <c r="A8" s="46"/>
      <c r="B8" s="64" t="s">
        <v>44</v>
      </c>
      <c r="C8" s="54" t="s">
        <v>39</v>
      </c>
      <c r="D8" s="65">
        <v>44986.0</v>
      </c>
      <c r="E8" s="65">
        <v>45323.0</v>
      </c>
      <c r="F8" s="46"/>
      <c r="G8" s="67">
        <f t="array" ref="G8">if(AND($E8&lt;G$1,$E8&lt;&gt;0),0,iferror(INDEX(Drivers!$C$11:$N$13,MATCH($C8,Drivers!$B$11:$B$13,0),MATCH(min(((year(G$1)-YEAR($D8))*12+MONTH(G$1)-MONTH($D8)),12),Drivers!$C$10:$N$10))))</f>
        <v>0</v>
      </c>
      <c r="H8" s="67">
        <f t="array" ref="H8">if(AND($E8&lt;H$1,$E8&lt;&gt;0),0,iferror(INDEX(Drivers!$C$11:$N$13,MATCH($C8,Drivers!$B$11:$B$13,0),MATCH(min(((year(H$1)-YEAR($D8))*12+MONTH(H$1)-MONTH($D8)),12),Drivers!$C$10:$N$10))))</f>
        <v>0</v>
      </c>
      <c r="I8" s="67">
        <f t="array" ref="I8">if(AND($E8&lt;I$1,$E8&lt;&gt;0),0,iferror(INDEX(Drivers!$C$11:$N$13,MATCH($C8,Drivers!$B$11:$B$13,0),MATCH(min(((year(I$1)-YEAR($D8))*12+MONTH(I$1)-MONTH($D8)),12),Drivers!$C$10:$N$10))))</f>
        <v>0</v>
      </c>
      <c r="J8" s="67">
        <f t="array" ref="J8">if(AND($E8&lt;J$1,$E8&lt;&gt;0),0,iferror(INDEX(Drivers!$C$11:$N$13,MATCH($C8,Drivers!$B$11:$B$13,0),MATCH(min(((year(J$1)-YEAR($D8))*12+MONTH(J$1)-MONTH($D8)),12),Drivers!$C$10:$N$10))))</f>
        <v>0</v>
      </c>
      <c r="K8" s="67">
        <f t="array" ref="K8">if(AND($E8&lt;K$1,$E8&lt;&gt;0),0,iferror(INDEX(Drivers!$C$11:$N$13,MATCH($C8,Drivers!$B$11:$B$13,0),MATCH(min(((year(K$1)-YEAR($D8))*12+MONTH(K$1)-MONTH($D8)),12),Drivers!$C$10:$N$10))))</f>
        <v>0</v>
      </c>
      <c r="L8" s="67">
        <f t="array" ref="L8">if(AND($E8&lt;L$1,$E8&lt;&gt;0),0,iferror(INDEX(Drivers!$C$11:$N$13,MATCH($C8,Drivers!$B$11:$B$13,0),MATCH(min(((year(L$1)-YEAR($D8))*12+MONTH(L$1)-MONTH($D8)),12),Drivers!$C$10:$N$10))))</f>
        <v>0</v>
      </c>
      <c r="M8" s="67">
        <f t="array" ref="M8">if(AND($E8&lt;M$1,$E8&lt;&gt;0),0,iferror(INDEX(Drivers!$C$11:$N$13,MATCH($C8,Drivers!$B$11:$B$13,0),MATCH(min(((year(M$1)-YEAR($D8))*12+MONTH(M$1)-MONTH($D8)),12),Drivers!$C$10:$N$10))))</f>
        <v>0</v>
      </c>
      <c r="N8" s="67">
        <f t="array" ref="N8">if(AND($E8&lt;N$1,$E8&lt;&gt;0),0,iferror(INDEX(Drivers!$C$11:$N$13,MATCH($C8,Drivers!$B$11:$B$13,0),MATCH(min(((year(N$1)-YEAR($D8))*12+MONTH(N$1)-MONTH($D8)),12),Drivers!$C$10:$N$10))))</f>
        <v>0</v>
      </c>
      <c r="O8" s="67">
        <f t="array" ref="O8">if(AND($E8&lt;O$1,$E8&lt;&gt;0),0,iferror(INDEX(Drivers!$C$11:$N$13,MATCH($C8,Drivers!$B$11:$B$13,0),MATCH(min(((year(O$1)-YEAR($D8))*12+MONTH(O$1)-MONTH($D8)),12),Drivers!$C$10:$N$10))))</f>
        <v>0</v>
      </c>
      <c r="P8" s="67">
        <f t="array" ref="P8">if(AND($E8&lt;P$1,$E8&lt;&gt;0),0,iferror(INDEX(Drivers!$C$11:$N$13,MATCH($C8,Drivers!$B$11:$B$13,0),MATCH(min(((year(P$1)-YEAR($D8))*12+MONTH(P$1)-MONTH($D8)),12),Drivers!$C$10:$N$10))))</f>
        <v>0</v>
      </c>
      <c r="Q8" s="67">
        <f t="array" ref="Q8">if(AND($E8&lt;Q$1,$E8&lt;&gt;0),0,iferror(INDEX(Drivers!$C$11:$N$13,MATCH($C8,Drivers!$B$11:$B$13,0),MATCH(min(((year(Q$1)-YEAR($D8))*12+MONTH(Q$1)-MONTH($D8)),12),Drivers!$C$10:$N$10))))</f>
        <v>0</v>
      </c>
      <c r="R8" s="67">
        <f t="array" ref="R8">if(AND($E8&lt;R$1,$E8&lt;&gt;0),0,iferror(INDEX(Drivers!$C$11:$N$13,MATCH($C8,Drivers!$B$11:$B$13,0),MATCH(min(((year(R$1)-YEAR($D8))*12+MONTH(R$1)-MONTH($D8)),12),Drivers!$C$10:$N$10))))</f>
        <v>0</v>
      </c>
      <c r="S8" s="67">
        <f t="array" ref="S8">if(AND($E8&lt;S$1,$E8&lt;&gt;0),0,iferror(INDEX(Drivers!$C$11:$N$13,MATCH($C8,Drivers!$B$11:$B$13,0),MATCH(min(((year(S$1)-YEAR($D8))*12+MONTH(S$1)-MONTH($D8)),12),Drivers!$C$10:$N$10))))</f>
        <v>0</v>
      </c>
      <c r="T8" s="67">
        <f t="array" ref="T8">if(AND($E8&lt;T$1,$E8&lt;&gt;0),0,iferror(INDEX(Drivers!$C$11:$N$13,MATCH($C8,Drivers!$B$11:$B$13,0),MATCH(min(((year(T$1)-YEAR($D8))*12+MONTH(T$1)-MONTH($D8)),12),Drivers!$C$10:$N$10))))</f>
        <v>0</v>
      </c>
      <c r="U8" s="67">
        <f t="array" ref="U8">if(AND($E8&lt;U$1,$E8&lt;&gt;0),0,iferror(INDEX(Drivers!$C$11:$N$13,MATCH($C8,Drivers!$B$11:$B$13,0),MATCH(min(((year(U$1)-YEAR($D8))*12+MONTH(U$1)-MONTH($D8)),12),Drivers!$C$10:$N$10))))</f>
        <v>0</v>
      </c>
      <c r="V8" s="67">
        <f t="array" ref="V8">if(AND($E8&lt;V$1,$E8&lt;&gt;0),0,iferror(INDEX(Drivers!$C$11:$N$13,MATCH($C8,Drivers!$B$11:$B$13,0),MATCH(min(((year(V$1)-YEAR($D8))*12+MONTH(V$1)-MONTH($D8)),12),Drivers!$C$10:$N$10))))</f>
        <v>0</v>
      </c>
      <c r="W8" s="67">
        <f t="array" ref="W8">if(AND($E8&lt;W$1,$E8&lt;&gt;0),0,iferror(INDEX(Drivers!$C$11:$N$13,MATCH($C8,Drivers!$B$11:$B$13,0),MATCH(min(((year(W$1)-YEAR($D8))*12+MONTH(W$1)-MONTH($D8)),12),Drivers!$C$10:$N$10))))</f>
        <v>0</v>
      </c>
      <c r="X8" s="67">
        <f t="array" ref="X8">if(AND($E8&lt;X$1,$E8&lt;&gt;0),0,iferror(INDEX(Drivers!$C$11:$N$13,MATCH($C8,Drivers!$B$11:$B$13,0),MATCH(min(((year(X$1)-YEAR($D8))*12+MONTH(X$1)-MONTH($D8)),12),Drivers!$C$10:$N$10))))</f>
        <v>0</v>
      </c>
      <c r="Y8" s="67">
        <f t="array" ref="Y8">if(AND($E8&lt;Y$1,$E8&lt;&gt;0),0,iferror(INDEX(Drivers!$C$11:$N$13,MATCH($C8,Drivers!$B$11:$B$13,0),MATCH(min(((year(Y$1)-YEAR($D8))*12+MONTH(Y$1)-MONTH($D8)),12),Drivers!$C$10:$N$10))))</f>
        <v>0</v>
      </c>
      <c r="Z8" s="67">
        <f t="array" ref="Z8">if(AND($E8&lt;Z$1,$E8&lt;&gt;0),0,iferror(INDEX(Drivers!$C$11:$N$13,MATCH($C8,Drivers!$B$11:$B$13,0),MATCH(min(((year(Z$1)-YEAR($D8))*12+MONTH(Z$1)-MONTH($D8)),12),Drivers!$C$10:$N$10))))</f>
        <v>0</v>
      </c>
      <c r="AA8" s="67">
        <f t="array" ref="AA8">if(AND($E8&lt;AA$1,$E8&lt;&gt;0),0,iferror(INDEX(Drivers!$C$11:$N$13,MATCH($C8,Drivers!$B$11:$B$13,0),MATCH(min(((year(AA$1)-YEAR($D8))*12+MONTH(AA$1)-MONTH($D8)),12),Drivers!$C$10:$N$10))))</f>
        <v>0</v>
      </c>
      <c r="AB8" s="67">
        <f t="array" ref="AB8">if(AND($E8&lt;AB$1,$E8&lt;&gt;0),0,iferror(INDEX(Drivers!$C$11:$N$13,MATCH($C8,Drivers!$B$11:$B$13,0),MATCH(min(((year(AB$1)-YEAR($D8))*12+MONTH(AB$1)-MONTH($D8)),12),Drivers!$C$10:$N$10))))</f>
        <v>0</v>
      </c>
      <c r="AC8" s="67">
        <f t="array" ref="AC8">if(AND($E8&lt;AC$1,$E8&lt;&gt;0),0,iferror(INDEX(Drivers!$C$11:$N$13,MATCH($C8,Drivers!$B$11:$B$13,0),MATCH(min(((year(AC$1)-YEAR($D8))*12+MONTH(AC$1)-MONTH($D8)),12),Drivers!$C$10:$N$10))))</f>
        <v>0</v>
      </c>
      <c r="AD8" s="67">
        <f t="array" ref="AD8">if(AND($E8&lt;AD$1,$E8&lt;&gt;0),0,iferror(INDEX(Drivers!$C$11:$N$13,MATCH($C8,Drivers!$B$11:$B$13,0),MATCH(min(((year(AD$1)-YEAR($D8))*12+MONTH(AD$1)-MONTH($D8)),12),Drivers!$C$10:$N$10))))</f>
        <v>0</v>
      </c>
    </row>
    <row r="9" ht="15.75" customHeight="1">
      <c r="A9" s="46"/>
      <c r="B9" s="64" t="s">
        <v>45</v>
      </c>
      <c r="C9" s="54" t="s">
        <v>42</v>
      </c>
      <c r="D9" s="65">
        <v>44713.0</v>
      </c>
      <c r="E9" s="66" t="s">
        <v>40</v>
      </c>
      <c r="F9" s="46"/>
      <c r="G9" s="67">
        <f t="array" ref="G9">if(AND($E9&lt;G$1,$E9&lt;&gt;0),0,iferror(INDEX(Drivers!$C$11:$N$13,MATCH($C9,Drivers!$B$11:$B$13,0),MATCH(min(((year(G$1)-YEAR($D9))*12+MONTH(G$1)-MONTH($D9)),12),Drivers!$C$10:$N$10))))</f>
        <v>1</v>
      </c>
      <c r="H9" s="67">
        <f t="array" ref="H9">if(AND($E9&lt;H$1,$E9&lt;&gt;0),0,iferror(INDEX(Drivers!$C$11:$N$13,MATCH($C9,Drivers!$B$11:$B$13,0),MATCH(min(((year(H$1)-YEAR($D9))*12+MONTH(H$1)-MONTH($D9)),12),Drivers!$C$10:$N$10))))</f>
        <v>1</v>
      </c>
      <c r="I9" s="67">
        <f t="array" ref="I9">if(AND($E9&lt;I$1,$E9&lt;&gt;0),0,iferror(INDEX(Drivers!$C$11:$N$13,MATCH($C9,Drivers!$B$11:$B$13,0),MATCH(min(((year(I$1)-YEAR($D9))*12+MONTH(I$1)-MONTH($D9)),12),Drivers!$C$10:$N$10))))</f>
        <v>1</v>
      </c>
      <c r="J9" s="67">
        <f t="array" ref="J9">if(AND($E9&lt;J$1,$E9&lt;&gt;0),0,iferror(INDEX(Drivers!$C$11:$N$13,MATCH($C9,Drivers!$B$11:$B$13,0),MATCH(min(((year(J$1)-YEAR($D9))*12+MONTH(J$1)-MONTH($D9)),12),Drivers!$C$10:$N$10))))</f>
        <v>1</v>
      </c>
      <c r="K9" s="67">
        <f t="array" ref="K9">if(AND($E9&lt;K$1,$E9&lt;&gt;0),0,iferror(INDEX(Drivers!$C$11:$N$13,MATCH($C9,Drivers!$B$11:$B$13,0),MATCH(min(((year(K$1)-YEAR($D9))*12+MONTH(K$1)-MONTH($D9)),12),Drivers!$C$10:$N$10))))</f>
        <v>1</v>
      </c>
      <c r="L9" s="67">
        <f t="array" ref="L9">if(AND($E9&lt;L$1,$E9&lt;&gt;0),0,iferror(INDEX(Drivers!$C$11:$N$13,MATCH($C9,Drivers!$B$11:$B$13,0),MATCH(min(((year(L$1)-YEAR($D9))*12+MONTH(L$1)-MONTH($D9)),12),Drivers!$C$10:$N$10))))</f>
        <v>1</v>
      </c>
      <c r="M9" s="67">
        <f t="array" ref="M9">if(AND($E9&lt;M$1,$E9&lt;&gt;0),0,iferror(INDEX(Drivers!$C$11:$N$13,MATCH($C9,Drivers!$B$11:$B$13,0),MATCH(min(((year(M$1)-YEAR($D9))*12+MONTH(M$1)-MONTH($D9)),12),Drivers!$C$10:$N$10))))</f>
        <v>1</v>
      </c>
      <c r="N9" s="67">
        <f t="array" ref="N9">if(AND($E9&lt;N$1,$E9&lt;&gt;0),0,iferror(INDEX(Drivers!$C$11:$N$13,MATCH($C9,Drivers!$B$11:$B$13,0),MATCH(min(((year(N$1)-YEAR($D9))*12+MONTH(N$1)-MONTH($D9)),12),Drivers!$C$10:$N$10))))</f>
        <v>1</v>
      </c>
      <c r="O9" s="67">
        <f t="array" ref="O9">if(AND($E9&lt;O$1,$E9&lt;&gt;0),0,iferror(INDEX(Drivers!$C$11:$N$13,MATCH($C9,Drivers!$B$11:$B$13,0),MATCH(min(((year(O$1)-YEAR($D9))*12+MONTH(O$1)-MONTH($D9)),12),Drivers!$C$10:$N$10))))</f>
        <v>1</v>
      </c>
      <c r="P9" s="67">
        <f t="array" ref="P9">if(AND($E9&lt;P$1,$E9&lt;&gt;0),0,iferror(INDEX(Drivers!$C$11:$N$13,MATCH($C9,Drivers!$B$11:$B$13,0),MATCH(min(((year(P$1)-YEAR($D9))*12+MONTH(P$1)-MONTH($D9)),12),Drivers!$C$10:$N$10))))</f>
        <v>1</v>
      </c>
      <c r="Q9" s="67">
        <f t="array" ref="Q9">if(AND($E9&lt;Q$1,$E9&lt;&gt;0),0,iferror(INDEX(Drivers!$C$11:$N$13,MATCH($C9,Drivers!$B$11:$B$13,0),MATCH(min(((year(Q$1)-YEAR($D9))*12+MONTH(Q$1)-MONTH($D9)),12),Drivers!$C$10:$N$10))))</f>
        <v>1</v>
      </c>
      <c r="R9" s="67">
        <f t="array" ref="R9">if(AND($E9&lt;R$1,$E9&lt;&gt;0),0,iferror(INDEX(Drivers!$C$11:$N$13,MATCH($C9,Drivers!$B$11:$B$13,0),MATCH(min(((year(R$1)-YEAR($D9))*12+MONTH(R$1)-MONTH($D9)),12),Drivers!$C$10:$N$10))))</f>
        <v>1</v>
      </c>
      <c r="S9" s="67">
        <f t="array" ref="S9">if(AND($E9&lt;S$1,$E9&lt;&gt;0),0,iferror(INDEX(Drivers!$C$11:$N$13,MATCH($C9,Drivers!$B$11:$B$13,0),MATCH(min(((year(S$1)-YEAR($D9))*12+MONTH(S$1)-MONTH($D9)),12),Drivers!$C$10:$N$10))))</f>
        <v>1</v>
      </c>
      <c r="T9" s="67">
        <f t="array" ref="T9">if(AND($E9&lt;T$1,$E9&lt;&gt;0),0,iferror(INDEX(Drivers!$C$11:$N$13,MATCH($C9,Drivers!$B$11:$B$13,0),MATCH(min(((year(T$1)-YEAR($D9))*12+MONTH(T$1)-MONTH($D9)),12),Drivers!$C$10:$N$10))))</f>
        <v>1</v>
      </c>
      <c r="U9" s="67">
        <f t="array" ref="U9">if(AND($E9&lt;U$1,$E9&lt;&gt;0),0,iferror(INDEX(Drivers!$C$11:$N$13,MATCH($C9,Drivers!$B$11:$B$13,0),MATCH(min(((year(U$1)-YEAR($D9))*12+MONTH(U$1)-MONTH($D9)),12),Drivers!$C$10:$N$10))))</f>
        <v>1</v>
      </c>
      <c r="V9" s="67">
        <f t="array" ref="V9">if(AND($E9&lt;V$1,$E9&lt;&gt;0),0,iferror(INDEX(Drivers!$C$11:$N$13,MATCH($C9,Drivers!$B$11:$B$13,0),MATCH(min(((year(V$1)-YEAR($D9))*12+MONTH(V$1)-MONTH($D9)),12),Drivers!$C$10:$N$10))))</f>
        <v>1</v>
      </c>
      <c r="W9" s="67">
        <f t="array" ref="W9">if(AND($E9&lt;W$1,$E9&lt;&gt;0),0,iferror(INDEX(Drivers!$C$11:$N$13,MATCH($C9,Drivers!$B$11:$B$13,0),MATCH(min(((year(W$1)-YEAR($D9))*12+MONTH(W$1)-MONTH($D9)),12),Drivers!$C$10:$N$10))))</f>
        <v>1</v>
      </c>
      <c r="X9" s="67">
        <f t="array" ref="X9">if(AND($E9&lt;X$1,$E9&lt;&gt;0),0,iferror(INDEX(Drivers!$C$11:$N$13,MATCH($C9,Drivers!$B$11:$B$13,0),MATCH(min(((year(X$1)-YEAR($D9))*12+MONTH(X$1)-MONTH($D9)),12),Drivers!$C$10:$N$10))))</f>
        <v>1</v>
      </c>
      <c r="Y9" s="67">
        <f t="array" ref="Y9">if(AND($E9&lt;Y$1,$E9&lt;&gt;0),0,iferror(INDEX(Drivers!$C$11:$N$13,MATCH($C9,Drivers!$B$11:$B$13,0),MATCH(min(((year(Y$1)-YEAR($D9))*12+MONTH(Y$1)-MONTH($D9)),12),Drivers!$C$10:$N$10))))</f>
        <v>1</v>
      </c>
      <c r="Z9" s="67">
        <f t="array" ref="Z9">if(AND($E9&lt;Z$1,$E9&lt;&gt;0),0,iferror(INDEX(Drivers!$C$11:$N$13,MATCH($C9,Drivers!$B$11:$B$13,0),MATCH(min(((year(Z$1)-YEAR($D9))*12+MONTH(Z$1)-MONTH($D9)),12),Drivers!$C$10:$N$10))))</f>
        <v>1</v>
      </c>
      <c r="AA9" s="67">
        <f t="array" ref="AA9">if(AND($E9&lt;AA$1,$E9&lt;&gt;0),0,iferror(INDEX(Drivers!$C$11:$N$13,MATCH($C9,Drivers!$B$11:$B$13,0),MATCH(min(((year(AA$1)-YEAR($D9))*12+MONTH(AA$1)-MONTH($D9)),12),Drivers!$C$10:$N$10))))</f>
        <v>1</v>
      </c>
      <c r="AB9" s="67">
        <f t="array" ref="AB9">if(AND($E9&lt;AB$1,$E9&lt;&gt;0),0,iferror(INDEX(Drivers!$C$11:$N$13,MATCH($C9,Drivers!$B$11:$B$13,0),MATCH(min(((year(AB$1)-YEAR($D9))*12+MONTH(AB$1)-MONTH($D9)),12),Drivers!$C$10:$N$10))))</f>
        <v>1</v>
      </c>
      <c r="AC9" s="67">
        <f t="array" ref="AC9">if(AND($E9&lt;AC$1,$E9&lt;&gt;0),0,iferror(INDEX(Drivers!$C$11:$N$13,MATCH($C9,Drivers!$B$11:$B$13,0),MATCH(min(((year(AC$1)-YEAR($D9))*12+MONTH(AC$1)-MONTH($D9)),12),Drivers!$C$10:$N$10))))</f>
        <v>1</v>
      </c>
      <c r="AD9" s="67">
        <f t="array" ref="AD9">if(AND($E9&lt;AD$1,$E9&lt;&gt;0),0,iferror(INDEX(Drivers!$C$11:$N$13,MATCH($C9,Drivers!$B$11:$B$13,0),MATCH(min(((year(AD$1)-YEAR($D9))*12+MONTH(AD$1)-MONTH($D9)),12),Drivers!$C$10:$N$10))))</f>
        <v>1</v>
      </c>
    </row>
    <row r="10" ht="15.75" customHeight="1">
      <c r="A10" s="46"/>
      <c r="B10" s="64" t="s">
        <v>46</v>
      </c>
      <c r="C10" s="54" t="s">
        <v>42</v>
      </c>
      <c r="D10" s="65">
        <v>44470.0</v>
      </c>
      <c r="E10" s="65">
        <v>45444.0</v>
      </c>
      <c r="F10" s="46"/>
      <c r="G10" s="67">
        <f t="array" ref="G10">if(AND($E10&lt;G$1,$E10&lt;&gt;0),0,iferror(INDEX(Drivers!$C$11:$N$13,MATCH($C10,Drivers!$B$11:$B$13,0),MATCH(min(((year(G$1)-YEAR($D10))*12+MONTH(G$1)-MONTH($D10)),12),Drivers!$C$10:$N$10))))</f>
        <v>1</v>
      </c>
      <c r="H10" s="67">
        <f t="array" ref="H10">if(AND($E10&lt;H$1,$E10&lt;&gt;0),0,iferror(INDEX(Drivers!$C$11:$N$13,MATCH($C10,Drivers!$B$11:$B$13,0),MATCH(min(((year(H$1)-YEAR($D10))*12+MONTH(H$1)-MONTH($D10)),12),Drivers!$C$10:$N$10))))</f>
        <v>1</v>
      </c>
      <c r="I10" s="67">
        <f t="array" ref="I10">if(AND($E10&lt;I$1,$E10&lt;&gt;0),0,iferror(INDEX(Drivers!$C$11:$N$13,MATCH($C10,Drivers!$B$11:$B$13,0),MATCH(min(((year(I$1)-YEAR($D10))*12+MONTH(I$1)-MONTH($D10)),12),Drivers!$C$10:$N$10))))</f>
        <v>1</v>
      </c>
      <c r="J10" s="67">
        <f t="array" ref="J10">if(AND($E10&lt;J$1,$E10&lt;&gt;0),0,iferror(INDEX(Drivers!$C$11:$N$13,MATCH($C10,Drivers!$B$11:$B$13,0),MATCH(min(((year(J$1)-YEAR($D10))*12+MONTH(J$1)-MONTH($D10)),12),Drivers!$C$10:$N$10))))</f>
        <v>1</v>
      </c>
      <c r="K10" s="67">
        <f t="array" ref="K10">if(AND($E10&lt;K$1,$E10&lt;&gt;0),0,iferror(INDEX(Drivers!$C$11:$N$13,MATCH($C10,Drivers!$B$11:$B$13,0),MATCH(min(((year(K$1)-YEAR($D10))*12+MONTH(K$1)-MONTH($D10)),12),Drivers!$C$10:$N$10))))</f>
        <v>0</v>
      </c>
      <c r="L10" s="67">
        <f t="array" ref="L10">if(AND($E10&lt;L$1,$E10&lt;&gt;0),0,iferror(INDEX(Drivers!$C$11:$N$13,MATCH($C10,Drivers!$B$11:$B$13,0),MATCH(min(((year(L$1)-YEAR($D10))*12+MONTH(L$1)-MONTH($D10)),12),Drivers!$C$10:$N$10))))</f>
        <v>0</v>
      </c>
      <c r="M10" s="67">
        <f t="array" ref="M10">if(AND($E10&lt;M$1,$E10&lt;&gt;0),0,iferror(INDEX(Drivers!$C$11:$N$13,MATCH($C10,Drivers!$B$11:$B$13,0),MATCH(min(((year(M$1)-YEAR($D10))*12+MONTH(M$1)-MONTH($D10)),12),Drivers!$C$10:$N$10))))</f>
        <v>0</v>
      </c>
      <c r="N10" s="67">
        <f t="array" ref="N10">if(AND($E10&lt;N$1,$E10&lt;&gt;0),0,iferror(INDEX(Drivers!$C$11:$N$13,MATCH($C10,Drivers!$B$11:$B$13,0),MATCH(min(((year(N$1)-YEAR($D10))*12+MONTH(N$1)-MONTH($D10)),12),Drivers!$C$10:$N$10))))</f>
        <v>0</v>
      </c>
      <c r="O10" s="67">
        <f t="array" ref="O10">if(AND($E10&lt;O$1,$E10&lt;&gt;0),0,iferror(INDEX(Drivers!$C$11:$N$13,MATCH($C10,Drivers!$B$11:$B$13,0),MATCH(min(((year(O$1)-YEAR($D10))*12+MONTH(O$1)-MONTH($D10)),12),Drivers!$C$10:$N$10))))</f>
        <v>0</v>
      </c>
      <c r="P10" s="67">
        <f t="array" ref="P10">if(AND($E10&lt;P$1,$E10&lt;&gt;0),0,iferror(INDEX(Drivers!$C$11:$N$13,MATCH($C10,Drivers!$B$11:$B$13,0),MATCH(min(((year(P$1)-YEAR($D10))*12+MONTH(P$1)-MONTH($D10)),12),Drivers!$C$10:$N$10))))</f>
        <v>0</v>
      </c>
      <c r="Q10" s="67">
        <f t="array" ref="Q10">if(AND($E10&lt;Q$1,$E10&lt;&gt;0),0,iferror(INDEX(Drivers!$C$11:$N$13,MATCH($C10,Drivers!$B$11:$B$13,0),MATCH(min(((year(Q$1)-YEAR($D10))*12+MONTH(Q$1)-MONTH($D10)),12),Drivers!$C$10:$N$10))))</f>
        <v>0</v>
      </c>
      <c r="R10" s="67">
        <f t="array" ref="R10">if(AND($E10&lt;R$1,$E10&lt;&gt;0),0,iferror(INDEX(Drivers!$C$11:$N$13,MATCH($C10,Drivers!$B$11:$B$13,0),MATCH(min(((year(R$1)-YEAR($D10))*12+MONTH(R$1)-MONTH($D10)),12),Drivers!$C$10:$N$10))))</f>
        <v>0</v>
      </c>
      <c r="S10" s="67">
        <f t="array" ref="S10">if(AND($E10&lt;S$1,$E10&lt;&gt;0),0,iferror(INDEX(Drivers!$C$11:$N$13,MATCH($C10,Drivers!$B$11:$B$13,0),MATCH(min(((year(S$1)-YEAR($D10))*12+MONTH(S$1)-MONTH($D10)),12),Drivers!$C$10:$N$10))))</f>
        <v>0</v>
      </c>
      <c r="T10" s="67">
        <f t="array" ref="T10">if(AND($E10&lt;T$1,$E10&lt;&gt;0),0,iferror(INDEX(Drivers!$C$11:$N$13,MATCH($C10,Drivers!$B$11:$B$13,0),MATCH(min(((year(T$1)-YEAR($D10))*12+MONTH(T$1)-MONTH($D10)),12),Drivers!$C$10:$N$10))))</f>
        <v>0</v>
      </c>
      <c r="U10" s="67">
        <f t="array" ref="U10">if(AND($E10&lt;U$1,$E10&lt;&gt;0),0,iferror(INDEX(Drivers!$C$11:$N$13,MATCH($C10,Drivers!$B$11:$B$13,0),MATCH(min(((year(U$1)-YEAR($D10))*12+MONTH(U$1)-MONTH($D10)),12),Drivers!$C$10:$N$10))))</f>
        <v>0</v>
      </c>
      <c r="V10" s="67">
        <f t="array" ref="V10">if(AND($E10&lt;V$1,$E10&lt;&gt;0),0,iferror(INDEX(Drivers!$C$11:$N$13,MATCH($C10,Drivers!$B$11:$B$13,0),MATCH(min(((year(V$1)-YEAR($D10))*12+MONTH(V$1)-MONTH($D10)),12),Drivers!$C$10:$N$10))))</f>
        <v>0</v>
      </c>
      <c r="W10" s="67">
        <f t="array" ref="W10">if(AND($E10&lt;W$1,$E10&lt;&gt;0),0,iferror(INDEX(Drivers!$C$11:$N$13,MATCH($C10,Drivers!$B$11:$B$13,0),MATCH(min(((year(W$1)-YEAR($D10))*12+MONTH(W$1)-MONTH($D10)),12),Drivers!$C$10:$N$10))))</f>
        <v>0</v>
      </c>
      <c r="X10" s="67">
        <f t="array" ref="X10">if(AND($E10&lt;X$1,$E10&lt;&gt;0),0,iferror(INDEX(Drivers!$C$11:$N$13,MATCH($C10,Drivers!$B$11:$B$13,0),MATCH(min(((year(X$1)-YEAR($D10))*12+MONTH(X$1)-MONTH($D10)),12),Drivers!$C$10:$N$10))))</f>
        <v>0</v>
      </c>
      <c r="Y10" s="67">
        <f t="array" ref="Y10">if(AND($E10&lt;Y$1,$E10&lt;&gt;0),0,iferror(INDEX(Drivers!$C$11:$N$13,MATCH($C10,Drivers!$B$11:$B$13,0),MATCH(min(((year(Y$1)-YEAR($D10))*12+MONTH(Y$1)-MONTH($D10)),12),Drivers!$C$10:$N$10))))</f>
        <v>0</v>
      </c>
      <c r="Z10" s="67">
        <f t="array" ref="Z10">if(AND($E10&lt;Z$1,$E10&lt;&gt;0),0,iferror(INDEX(Drivers!$C$11:$N$13,MATCH($C10,Drivers!$B$11:$B$13,0),MATCH(min(((year(Z$1)-YEAR($D10))*12+MONTH(Z$1)-MONTH($D10)),12),Drivers!$C$10:$N$10))))</f>
        <v>0</v>
      </c>
      <c r="AA10" s="67">
        <f t="array" ref="AA10">if(AND($E10&lt;AA$1,$E10&lt;&gt;0),0,iferror(INDEX(Drivers!$C$11:$N$13,MATCH($C10,Drivers!$B$11:$B$13,0),MATCH(min(((year(AA$1)-YEAR($D10))*12+MONTH(AA$1)-MONTH($D10)),12),Drivers!$C$10:$N$10))))</f>
        <v>0</v>
      </c>
      <c r="AB10" s="67">
        <f t="array" ref="AB10">if(AND($E10&lt;AB$1,$E10&lt;&gt;0),0,iferror(INDEX(Drivers!$C$11:$N$13,MATCH($C10,Drivers!$B$11:$B$13,0),MATCH(min(((year(AB$1)-YEAR($D10))*12+MONTH(AB$1)-MONTH($D10)),12),Drivers!$C$10:$N$10))))</f>
        <v>0</v>
      </c>
      <c r="AC10" s="67">
        <f t="array" ref="AC10">if(AND($E10&lt;AC$1,$E10&lt;&gt;0),0,iferror(INDEX(Drivers!$C$11:$N$13,MATCH($C10,Drivers!$B$11:$B$13,0),MATCH(min(((year(AC$1)-YEAR($D10))*12+MONTH(AC$1)-MONTH($D10)),12),Drivers!$C$10:$N$10))))</f>
        <v>0</v>
      </c>
      <c r="AD10" s="67">
        <f t="array" ref="AD10">if(AND($E10&lt;AD$1,$E10&lt;&gt;0),0,iferror(INDEX(Drivers!$C$11:$N$13,MATCH($C10,Drivers!$B$11:$B$13,0),MATCH(min(((year(AD$1)-YEAR($D10))*12+MONTH(AD$1)-MONTH($D10)),12),Drivers!$C$10:$N$10))))</f>
        <v>0</v>
      </c>
    </row>
    <row r="11" ht="15.75" customHeight="1">
      <c r="A11" s="46"/>
      <c r="B11" s="64" t="s">
        <v>47</v>
      </c>
      <c r="C11" s="54" t="s">
        <v>42</v>
      </c>
      <c r="D11" s="65">
        <v>45261.0</v>
      </c>
      <c r="E11" s="66" t="s">
        <v>40</v>
      </c>
      <c r="F11" s="46"/>
      <c r="G11" s="67">
        <f t="array" ref="G11">if(AND($E11&lt;G$1,$E11&lt;&gt;0),0,iferror(INDEX(Drivers!$C$11:$N$13,MATCH($C11,Drivers!$B$11:$B$13,0),MATCH(min(((year(G$1)-YEAR($D11))*12+MONTH(G$1)-MONTH($D11)),12),Drivers!$C$10:$N$10))))</f>
        <v>0</v>
      </c>
      <c r="H11" s="67">
        <f t="array" ref="H11">if(AND($E11&lt;H$1,$E11&lt;&gt;0),0,iferror(INDEX(Drivers!$C$11:$N$13,MATCH($C11,Drivers!$B$11:$B$13,0),MATCH(min(((year(H$1)-YEAR($D11))*12+MONTH(H$1)-MONTH($D11)),12),Drivers!$C$10:$N$10))))</f>
        <v>0.25</v>
      </c>
      <c r="I11" s="67">
        <f t="array" ref="I11">if(AND($E11&lt;I$1,$E11&lt;&gt;0),0,iferror(INDEX(Drivers!$C$11:$N$13,MATCH($C11,Drivers!$B$11:$B$13,0),MATCH(min(((year(I$1)-YEAR($D11))*12+MONTH(I$1)-MONTH($D11)),12),Drivers!$C$10:$N$10))))</f>
        <v>0.5</v>
      </c>
      <c r="J11" s="67">
        <f t="array" ref="J11">if(AND($E11&lt;J$1,$E11&lt;&gt;0),0,iferror(INDEX(Drivers!$C$11:$N$13,MATCH($C11,Drivers!$B$11:$B$13,0),MATCH(min(((year(J$1)-YEAR($D11))*12+MONTH(J$1)-MONTH($D11)),12),Drivers!$C$10:$N$10))))</f>
        <v>0.75</v>
      </c>
      <c r="K11" s="67">
        <f t="array" ref="K11">if(AND($E11&lt;K$1,$E11&lt;&gt;0),0,iferror(INDEX(Drivers!$C$11:$N$13,MATCH($C11,Drivers!$B$11:$B$13,0),MATCH(min(((year(K$1)-YEAR($D11))*12+MONTH(K$1)-MONTH($D11)),12),Drivers!$C$10:$N$10))))</f>
        <v>1</v>
      </c>
      <c r="L11" s="67">
        <f t="array" ref="L11">if(AND($E11&lt;L$1,$E11&lt;&gt;0),0,iferror(INDEX(Drivers!$C$11:$N$13,MATCH($C11,Drivers!$B$11:$B$13,0),MATCH(min(((year(L$1)-YEAR($D11))*12+MONTH(L$1)-MONTH($D11)),12),Drivers!$C$10:$N$10))))</f>
        <v>1</v>
      </c>
      <c r="M11" s="67">
        <f t="array" ref="M11">if(AND($E11&lt;M$1,$E11&lt;&gt;0),0,iferror(INDEX(Drivers!$C$11:$N$13,MATCH($C11,Drivers!$B$11:$B$13,0),MATCH(min(((year(M$1)-YEAR($D11))*12+MONTH(M$1)-MONTH($D11)),12),Drivers!$C$10:$N$10))))</f>
        <v>1</v>
      </c>
      <c r="N11" s="67">
        <f t="array" ref="N11">if(AND($E11&lt;N$1,$E11&lt;&gt;0),0,iferror(INDEX(Drivers!$C$11:$N$13,MATCH($C11,Drivers!$B$11:$B$13,0),MATCH(min(((year(N$1)-YEAR($D11))*12+MONTH(N$1)-MONTH($D11)),12),Drivers!$C$10:$N$10))))</f>
        <v>1</v>
      </c>
      <c r="O11" s="67">
        <f t="array" ref="O11">if(AND($E11&lt;O$1,$E11&lt;&gt;0),0,iferror(INDEX(Drivers!$C$11:$N$13,MATCH($C11,Drivers!$B$11:$B$13,0),MATCH(min(((year(O$1)-YEAR($D11))*12+MONTH(O$1)-MONTH($D11)),12),Drivers!$C$10:$N$10))))</f>
        <v>1</v>
      </c>
      <c r="P11" s="67">
        <f t="array" ref="P11">if(AND($E11&lt;P$1,$E11&lt;&gt;0),0,iferror(INDEX(Drivers!$C$11:$N$13,MATCH($C11,Drivers!$B$11:$B$13,0),MATCH(min(((year(P$1)-YEAR($D11))*12+MONTH(P$1)-MONTH($D11)),12),Drivers!$C$10:$N$10))))</f>
        <v>1</v>
      </c>
      <c r="Q11" s="67">
        <f t="array" ref="Q11">if(AND($E11&lt;Q$1,$E11&lt;&gt;0),0,iferror(INDEX(Drivers!$C$11:$N$13,MATCH($C11,Drivers!$B$11:$B$13,0),MATCH(min(((year(Q$1)-YEAR($D11))*12+MONTH(Q$1)-MONTH($D11)),12),Drivers!$C$10:$N$10))))</f>
        <v>1</v>
      </c>
      <c r="R11" s="67">
        <f t="array" ref="R11">if(AND($E11&lt;R$1,$E11&lt;&gt;0),0,iferror(INDEX(Drivers!$C$11:$N$13,MATCH($C11,Drivers!$B$11:$B$13,0),MATCH(min(((year(R$1)-YEAR($D11))*12+MONTH(R$1)-MONTH($D11)),12),Drivers!$C$10:$N$10))))</f>
        <v>1</v>
      </c>
      <c r="S11" s="67">
        <f t="array" ref="S11">if(AND($E11&lt;S$1,$E11&lt;&gt;0),0,iferror(INDEX(Drivers!$C$11:$N$13,MATCH($C11,Drivers!$B$11:$B$13,0),MATCH(min(((year(S$1)-YEAR($D11))*12+MONTH(S$1)-MONTH($D11)),12),Drivers!$C$10:$N$10))))</f>
        <v>1</v>
      </c>
      <c r="T11" s="67">
        <f t="array" ref="T11">if(AND($E11&lt;T$1,$E11&lt;&gt;0),0,iferror(INDEX(Drivers!$C$11:$N$13,MATCH($C11,Drivers!$B$11:$B$13,0),MATCH(min(((year(T$1)-YEAR($D11))*12+MONTH(T$1)-MONTH($D11)),12),Drivers!$C$10:$N$10))))</f>
        <v>1</v>
      </c>
      <c r="U11" s="67">
        <f t="array" ref="U11">if(AND($E11&lt;U$1,$E11&lt;&gt;0),0,iferror(INDEX(Drivers!$C$11:$N$13,MATCH($C11,Drivers!$B$11:$B$13,0),MATCH(min(((year(U$1)-YEAR($D11))*12+MONTH(U$1)-MONTH($D11)),12),Drivers!$C$10:$N$10))))</f>
        <v>1</v>
      </c>
      <c r="V11" s="67">
        <f t="array" ref="V11">if(AND($E11&lt;V$1,$E11&lt;&gt;0),0,iferror(INDEX(Drivers!$C$11:$N$13,MATCH($C11,Drivers!$B$11:$B$13,0),MATCH(min(((year(V$1)-YEAR($D11))*12+MONTH(V$1)-MONTH($D11)),12),Drivers!$C$10:$N$10))))</f>
        <v>1</v>
      </c>
      <c r="W11" s="67">
        <f t="array" ref="W11">if(AND($E11&lt;W$1,$E11&lt;&gt;0),0,iferror(INDEX(Drivers!$C$11:$N$13,MATCH($C11,Drivers!$B$11:$B$13,0),MATCH(min(((year(W$1)-YEAR($D11))*12+MONTH(W$1)-MONTH($D11)),12),Drivers!$C$10:$N$10))))</f>
        <v>1</v>
      </c>
      <c r="X11" s="67">
        <f t="array" ref="X11">if(AND($E11&lt;X$1,$E11&lt;&gt;0),0,iferror(INDEX(Drivers!$C$11:$N$13,MATCH($C11,Drivers!$B$11:$B$13,0),MATCH(min(((year(X$1)-YEAR($D11))*12+MONTH(X$1)-MONTH($D11)),12),Drivers!$C$10:$N$10))))</f>
        <v>1</v>
      </c>
      <c r="Y11" s="67">
        <f t="array" ref="Y11">if(AND($E11&lt;Y$1,$E11&lt;&gt;0),0,iferror(INDEX(Drivers!$C$11:$N$13,MATCH($C11,Drivers!$B$11:$B$13,0),MATCH(min(((year(Y$1)-YEAR($D11))*12+MONTH(Y$1)-MONTH($D11)),12),Drivers!$C$10:$N$10))))</f>
        <v>1</v>
      </c>
      <c r="Z11" s="67">
        <f t="array" ref="Z11">if(AND($E11&lt;Z$1,$E11&lt;&gt;0),0,iferror(INDEX(Drivers!$C$11:$N$13,MATCH($C11,Drivers!$B$11:$B$13,0),MATCH(min(((year(Z$1)-YEAR($D11))*12+MONTH(Z$1)-MONTH($D11)),12),Drivers!$C$10:$N$10))))</f>
        <v>1</v>
      </c>
      <c r="AA11" s="67">
        <f t="array" ref="AA11">if(AND($E11&lt;AA$1,$E11&lt;&gt;0),0,iferror(INDEX(Drivers!$C$11:$N$13,MATCH($C11,Drivers!$B$11:$B$13,0),MATCH(min(((year(AA$1)-YEAR($D11))*12+MONTH(AA$1)-MONTH($D11)),12),Drivers!$C$10:$N$10))))</f>
        <v>1</v>
      </c>
      <c r="AB11" s="67">
        <f t="array" ref="AB11">if(AND($E11&lt;AB$1,$E11&lt;&gt;0),0,iferror(INDEX(Drivers!$C$11:$N$13,MATCH($C11,Drivers!$B$11:$B$13,0),MATCH(min(((year(AB$1)-YEAR($D11))*12+MONTH(AB$1)-MONTH($D11)),12),Drivers!$C$10:$N$10))))</f>
        <v>1</v>
      </c>
      <c r="AC11" s="67">
        <f t="array" ref="AC11">if(AND($E11&lt;AC$1,$E11&lt;&gt;0),0,iferror(INDEX(Drivers!$C$11:$N$13,MATCH($C11,Drivers!$B$11:$B$13,0),MATCH(min(((year(AC$1)-YEAR($D11))*12+MONTH(AC$1)-MONTH($D11)),12),Drivers!$C$10:$N$10))))</f>
        <v>1</v>
      </c>
      <c r="AD11" s="67">
        <f t="array" ref="AD11">if(AND($E11&lt;AD$1,$E11&lt;&gt;0),0,iferror(INDEX(Drivers!$C$11:$N$13,MATCH($C11,Drivers!$B$11:$B$13,0),MATCH(min(((year(AD$1)-YEAR($D11))*12+MONTH(AD$1)-MONTH($D11)),12),Drivers!$C$10:$N$10))))</f>
        <v>1</v>
      </c>
    </row>
    <row r="12" ht="15.75" customHeight="1">
      <c r="A12" s="46"/>
      <c r="B12" s="64" t="s">
        <v>48</v>
      </c>
      <c r="C12" s="54" t="s">
        <v>39</v>
      </c>
      <c r="D12" s="65">
        <v>45321.0</v>
      </c>
      <c r="E12" s="66" t="s">
        <v>40</v>
      </c>
      <c r="F12" s="46"/>
      <c r="G12" s="67">
        <f t="array" ref="G12">if(AND($E12&lt;G$1,$E12&lt;&gt;0),0,iferror(INDEX(Drivers!$C$11:$N$13,MATCH($C12,Drivers!$B$11:$B$13,0),MATCH(min(((year(G$1)-YEAR($D12))*12+MONTH(G$1)-MONTH($D12)),12),Drivers!$C$10:$N$10))))</f>
        <v>0</v>
      </c>
      <c r="H12" s="67">
        <f t="array" ref="H12">if(AND($E12&lt;H$1,$E12&lt;&gt;0),0,iferror(INDEX(Drivers!$C$11:$N$13,MATCH($C12,Drivers!$B$11:$B$13,0),MATCH(min(((year(H$1)-YEAR($D12))*12+MONTH(H$1)-MONTH($D12)),12),Drivers!$C$10:$N$10))))</f>
        <v>0</v>
      </c>
      <c r="I12" s="67">
        <f t="array" ref="I12">if(AND($E12&lt;I$1,$E12&lt;&gt;0),0,iferror(INDEX(Drivers!$C$11:$N$13,MATCH($C12,Drivers!$B$11:$B$13,0),MATCH(min(((year(I$1)-YEAR($D12))*12+MONTH(I$1)-MONTH($D12)),12),Drivers!$C$10:$N$10))))</f>
        <v>0</v>
      </c>
      <c r="J12" s="67">
        <f t="array" ref="J12">if(AND($E12&lt;J$1,$E12&lt;&gt;0),0,iferror(INDEX(Drivers!$C$11:$N$13,MATCH($C12,Drivers!$B$11:$B$13,0),MATCH(min(((year(J$1)-YEAR($D12))*12+MONTH(J$1)-MONTH($D12)),12),Drivers!$C$10:$N$10))))</f>
        <v>0.25</v>
      </c>
      <c r="K12" s="67">
        <f t="array" ref="K12">if(AND($E12&lt;K$1,$E12&lt;&gt;0),0,iferror(INDEX(Drivers!$C$11:$N$13,MATCH($C12,Drivers!$B$11:$B$13,0),MATCH(min(((year(K$1)-YEAR($D12))*12+MONTH(K$1)-MONTH($D12)),12),Drivers!$C$10:$N$10))))</f>
        <v>0.5</v>
      </c>
      <c r="L12" s="67">
        <f t="array" ref="L12">if(AND($E12&lt;L$1,$E12&lt;&gt;0),0,iferror(INDEX(Drivers!$C$11:$N$13,MATCH($C12,Drivers!$B$11:$B$13,0),MATCH(min(((year(L$1)-YEAR($D12))*12+MONTH(L$1)-MONTH($D12)),12),Drivers!$C$10:$N$10))))</f>
        <v>0.5</v>
      </c>
      <c r="M12" s="67">
        <f t="array" ref="M12">if(AND($E12&lt;M$1,$E12&lt;&gt;0),0,iferror(INDEX(Drivers!$C$11:$N$13,MATCH($C12,Drivers!$B$11:$B$13,0),MATCH(min(((year(M$1)-YEAR($D12))*12+MONTH(M$1)-MONTH($D12)),12),Drivers!$C$10:$N$10))))</f>
        <v>0.75</v>
      </c>
      <c r="N12" s="67">
        <f t="array" ref="N12">if(AND($E12&lt;N$1,$E12&lt;&gt;0),0,iferror(INDEX(Drivers!$C$11:$N$13,MATCH($C12,Drivers!$B$11:$B$13,0),MATCH(min(((year(N$1)-YEAR($D12))*12+MONTH(N$1)-MONTH($D12)),12),Drivers!$C$10:$N$10))))</f>
        <v>0.75</v>
      </c>
      <c r="O12" s="67">
        <f t="array" ref="O12">if(AND($E12&lt;O$1,$E12&lt;&gt;0),0,iferror(INDEX(Drivers!$C$11:$N$13,MATCH($C12,Drivers!$B$11:$B$13,0),MATCH(min(((year(O$1)-YEAR($D12))*12+MONTH(O$1)-MONTH($D12)),12),Drivers!$C$10:$N$10))))</f>
        <v>1</v>
      </c>
      <c r="P12" s="67">
        <f t="array" ref="P12">if(AND($E12&lt;P$1,$E12&lt;&gt;0),0,iferror(INDEX(Drivers!$C$11:$N$13,MATCH($C12,Drivers!$B$11:$B$13,0),MATCH(min(((year(P$1)-YEAR($D12))*12+MONTH(P$1)-MONTH($D12)),12),Drivers!$C$10:$N$10))))</f>
        <v>1</v>
      </c>
      <c r="Q12" s="67">
        <f t="array" ref="Q12">if(AND($E12&lt;Q$1,$E12&lt;&gt;0),0,iferror(INDEX(Drivers!$C$11:$N$13,MATCH($C12,Drivers!$B$11:$B$13,0),MATCH(min(((year(Q$1)-YEAR($D12))*12+MONTH(Q$1)-MONTH($D12)),12),Drivers!$C$10:$N$10))))</f>
        <v>1</v>
      </c>
      <c r="R12" s="67">
        <f t="array" ref="R12">if(AND($E12&lt;R$1,$E12&lt;&gt;0),0,iferror(INDEX(Drivers!$C$11:$N$13,MATCH($C12,Drivers!$B$11:$B$13,0),MATCH(min(((year(R$1)-YEAR($D12))*12+MONTH(R$1)-MONTH($D12)),12),Drivers!$C$10:$N$10))))</f>
        <v>1</v>
      </c>
      <c r="S12" s="67">
        <f t="array" ref="S12">if(AND($E12&lt;S$1,$E12&lt;&gt;0),0,iferror(INDEX(Drivers!$C$11:$N$13,MATCH($C12,Drivers!$B$11:$B$13,0),MATCH(min(((year(S$1)-YEAR($D12))*12+MONTH(S$1)-MONTH($D12)),12),Drivers!$C$10:$N$10))))</f>
        <v>1</v>
      </c>
      <c r="T12" s="67">
        <f t="array" ref="T12">if(AND($E12&lt;T$1,$E12&lt;&gt;0),0,iferror(INDEX(Drivers!$C$11:$N$13,MATCH($C12,Drivers!$B$11:$B$13,0),MATCH(min(((year(T$1)-YEAR($D12))*12+MONTH(T$1)-MONTH($D12)),12),Drivers!$C$10:$N$10))))</f>
        <v>1</v>
      </c>
      <c r="U12" s="67">
        <f t="array" ref="U12">if(AND($E12&lt;U$1,$E12&lt;&gt;0),0,iferror(INDEX(Drivers!$C$11:$N$13,MATCH($C12,Drivers!$B$11:$B$13,0),MATCH(min(((year(U$1)-YEAR($D12))*12+MONTH(U$1)-MONTH($D12)),12),Drivers!$C$10:$N$10))))</f>
        <v>1</v>
      </c>
      <c r="V12" s="67">
        <f t="array" ref="V12">if(AND($E12&lt;V$1,$E12&lt;&gt;0),0,iferror(INDEX(Drivers!$C$11:$N$13,MATCH($C12,Drivers!$B$11:$B$13,0),MATCH(min(((year(V$1)-YEAR($D12))*12+MONTH(V$1)-MONTH($D12)),12),Drivers!$C$10:$N$10))))</f>
        <v>1</v>
      </c>
      <c r="W12" s="67">
        <f t="array" ref="W12">if(AND($E12&lt;W$1,$E12&lt;&gt;0),0,iferror(INDEX(Drivers!$C$11:$N$13,MATCH($C12,Drivers!$B$11:$B$13,0),MATCH(min(((year(W$1)-YEAR($D12))*12+MONTH(W$1)-MONTH($D12)),12),Drivers!$C$10:$N$10))))</f>
        <v>1</v>
      </c>
      <c r="X12" s="67">
        <f t="array" ref="X12">if(AND($E12&lt;X$1,$E12&lt;&gt;0),0,iferror(INDEX(Drivers!$C$11:$N$13,MATCH($C12,Drivers!$B$11:$B$13,0),MATCH(min(((year(X$1)-YEAR($D12))*12+MONTH(X$1)-MONTH($D12)),12),Drivers!$C$10:$N$10))))</f>
        <v>1</v>
      </c>
      <c r="Y12" s="67">
        <f t="array" ref="Y12">if(AND($E12&lt;Y$1,$E12&lt;&gt;0),0,iferror(INDEX(Drivers!$C$11:$N$13,MATCH($C12,Drivers!$B$11:$B$13,0),MATCH(min(((year(Y$1)-YEAR($D12))*12+MONTH(Y$1)-MONTH($D12)),12),Drivers!$C$10:$N$10))))</f>
        <v>1</v>
      </c>
      <c r="Z12" s="67">
        <f t="array" ref="Z12">if(AND($E12&lt;Z$1,$E12&lt;&gt;0),0,iferror(INDEX(Drivers!$C$11:$N$13,MATCH($C12,Drivers!$B$11:$B$13,0),MATCH(min(((year(Z$1)-YEAR($D12))*12+MONTH(Z$1)-MONTH($D12)),12),Drivers!$C$10:$N$10))))</f>
        <v>1</v>
      </c>
      <c r="AA12" s="67">
        <f t="array" ref="AA12">if(AND($E12&lt;AA$1,$E12&lt;&gt;0),0,iferror(INDEX(Drivers!$C$11:$N$13,MATCH($C12,Drivers!$B$11:$B$13,0),MATCH(min(((year(AA$1)-YEAR($D12))*12+MONTH(AA$1)-MONTH($D12)),12),Drivers!$C$10:$N$10))))</f>
        <v>1</v>
      </c>
      <c r="AB12" s="67">
        <f t="array" ref="AB12">if(AND($E12&lt;AB$1,$E12&lt;&gt;0),0,iferror(INDEX(Drivers!$C$11:$N$13,MATCH($C12,Drivers!$B$11:$B$13,0),MATCH(min(((year(AB$1)-YEAR($D12))*12+MONTH(AB$1)-MONTH($D12)),12),Drivers!$C$10:$N$10))))</f>
        <v>1</v>
      </c>
      <c r="AC12" s="67">
        <f t="array" ref="AC12">if(AND($E12&lt;AC$1,$E12&lt;&gt;0),0,iferror(INDEX(Drivers!$C$11:$N$13,MATCH($C12,Drivers!$B$11:$B$13,0),MATCH(min(((year(AC$1)-YEAR($D12))*12+MONTH(AC$1)-MONTH($D12)),12),Drivers!$C$10:$N$10))))</f>
        <v>1</v>
      </c>
      <c r="AD12" s="67">
        <f t="array" ref="AD12">if(AND($E12&lt;AD$1,$E12&lt;&gt;0),0,iferror(INDEX(Drivers!$C$11:$N$13,MATCH($C12,Drivers!$B$11:$B$13,0),MATCH(min(((year(AD$1)-YEAR($D12))*12+MONTH(AD$1)-MONTH($D12)),12),Drivers!$C$10:$N$10))))</f>
        <v>1</v>
      </c>
    </row>
    <row r="13" ht="15.75" customHeight="1">
      <c r="A13" s="46"/>
      <c r="B13" s="64" t="s">
        <v>49</v>
      </c>
      <c r="C13" s="54" t="s">
        <v>42</v>
      </c>
      <c r="D13" s="65">
        <v>45078.0</v>
      </c>
      <c r="E13" s="66" t="s">
        <v>40</v>
      </c>
      <c r="F13" s="46"/>
      <c r="G13" s="67">
        <f t="array" ref="G13">if(AND($E13&lt;G$1,$E13&lt;&gt;0),0,iferror(INDEX(Drivers!$C$11:$N$13,MATCH($C13,Drivers!$B$11:$B$13,0),MATCH(min(((year(G$1)-YEAR($D13))*12+MONTH(G$1)-MONTH($D13)),12),Drivers!$C$10:$N$10))))</f>
        <v>1</v>
      </c>
      <c r="H13" s="67">
        <f t="array" ref="H13">if(AND($E13&lt;H$1,$E13&lt;&gt;0),0,iferror(INDEX(Drivers!$C$11:$N$13,MATCH($C13,Drivers!$B$11:$B$13,0),MATCH(min(((year(H$1)-YEAR($D13))*12+MONTH(H$1)-MONTH($D13)),12),Drivers!$C$10:$N$10))))</f>
        <v>1</v>
      </c>
      <c r="I13" s="67">
        <f t="array" ref="I13">if(AND($E13&lt;I$1,$E13&lt;&gt;0),0,iferror(INDEX(Drivers!$C$11:$N$13,MATCH($C13,Drivers!$B$11:$B$13,0),MATCH(min(((year(I$1)-YEAR($D13))*12+MONTH(I$1)-MONTH($D13)),12),Drivers!$C$10:$N$10))))</f>
        <v>1</v>
      </c>
      <c r="J13" s="67">
        <f t="array" ref="J13">if(AND($E13&lt;J$1,$E13&lt;&gt;0),0,iferror(INDEX(Drivers!$C$11:$N$13,MATCH($C13,Drivers!$B$11:$B$13,0),MATCH(min(((year(J$1)-YEAR($D13))*12+MONTH(J$1)-MONTH($D13)),12),Drivers!$C$10:$N$10))))</f>
        <v>1</v>
      </c>
      <c r="K13" s="67">
        <f t="array" ref="K13">if(AND($E13&lt;K$1,$E13&lt;&gt;0),0,iferror(INDEX(Drivers!$C$11:$N$13,MATCH($C13,Drivers!$B$11:$B$13,0),MATCH(min(((year(K$1)-YEAR($D13))*12+MONTH(K$1)-MONTH($D13)),12),Drivers!$C$10:$N$10))))</f>
        <v>1</v>
      </c>
      <c r="L13" s="67">
        <f t="array" ref="L13">if(AND($E13&lt;L$1,$E13&lt;&gt;0),0,iferror(INDEX(Drivers!$C$11:$N$13,MATCH($C13,Drivers!$B$11:$B$13,0),MATCH(min(((year(L$1)-YEAR($D13))*12+MONTH(L$1)-MONTH($D13)),12),Drivers!$C$10:$N$10))))</f>
        <v>1</v>
      </c>
      <c r="M13" s="67">
        <f t="array" ref="M13">if(AND($E13&lt;M$1,$E13&lt;&gt;0),0,iferror(INDEX(Drivers!$C$11:$N$13,MATCH($C13,Drivers!$B$11:$B$13,0),MATCH(min(((year(M$1)-YEAR($D13))*12+MONTH(M$1)-MONTH($D13)),12),Drivers!$C$10:$N$10))))</f>
        <v>1</v>
      </c>
      <c r="N13" s="67">
        <f t="array" ref="N13">if(AND($E13&lt;N$1,$E13&lt;&gt;0),0,iferror(INDEX(Drivers!$C$11:$N$13,MATCH($C13,Drivers!$B$11:$B$13,0),MATCH(min(((year(N$1)-YEAR($D13))*12+MONTH(N$1)-MONTH($D13)),12),Drivers!$C$10:$N$10))))</f>
        <v>1</v>
      </c>
      <c r="O13" s="67">
        <f t="array" ref="O13">if(AND($E13&lt;O$1,$E13&lt;&gt;0),0,iferror(INDEX(Drivers!$C$11:$N$13,MATCH($C13,Drivers!$B$11:$B$13,0),MATCH(min(((year(O$1)-YEAR($D13))*12+MONTH(O$1)-MONTH($D13)),12),Drivers!$C$10:$N$10))))</f>
        <v>1</v>
      </c>
      <c r="P13" s="67">
        <f t="array" ref="P13">if(AND($E13&lt;P$1,$E13&lt;&gt;0),0,iferror(INDEX(Drivers!$C$11:$N$13,MATCH($C13,Drivers!$B$11:$B$13,0),MATCH(min(((year(P$1)-YEAR($D13))*12+MONTH(P$1)-MONTH($D13)),12),Drivers!$C$10:$N$10))))</f>
        <v>1</v>
      </c>
      <c r="Q13" s="67">
        <f t="array" ref="Q13">if(AND($E13&lt;Q$1,$E13&lt;&gt;0),0,iferror(INDEX(Drivers!$C$11:$N$13,MATCH($C13,Drivers!$B$11:$B$13,0),MATCH(min(((year(Q$1)-YEAR($D13))*12+MONTH(Q$1)-MONTH($D13)),12),Drivers!$C$10:$N$10))))</f>
        <v>1</v>
      </c>
      <c r="R13" s="67">
        <f t="array" ref="R13">if(AND($E13&lt;R$1,$E13&lt;&gt;0),0,iferror(INDEX(Drivers!$C$11:$N$13,MATCH($C13,Drivers!$B$11:$B$13,0),MATCH(min(((year(R$1)-YEAR($D13))*12+MONTH(R$1)-MONTH($D13)),12),Drivers!$C$10:$N$10))))</f>
        <v>1</v>
      </c>
      <c r="S13" s="67">
        <f t="array" ref="S13">if(AND($E13&lt;S$1,$E13&lt;&gt;0),0,iferror(INDEX(Drivers!$C$11:$N$13,MATCH($C13,Drivers!$B$11:$B$13,0),MATCH(min(((year(S$1)-YEAR($D13))*12+MONTH(S$1)-MONTH($D13)),12),Drivers!$C$10:$N$10))))</f>
        <v>1</v>
      </c>
      <c r="T13" s="67">
        <f t="array" ref="T13">if(AND($E13&lt;T$1,$E13&lt;&gt;0),0,iferror(INDEX(Drivers!$C$11:$N$13,MATCH($C13,Drivers!$B$11:$B$13,0),MATCH(min(((year(T$1)-YEAR($D13))*12+MONTH(T$1)-MONTH($D13)),12),Drivers!$C$10:$N$10))))</f>
        <v>1</v>
      </c>
      <c r="U13" s="67">
        <f t="array" ref="U13">if(AND($E13&lt;U$1,$E13&lt;&gt;0),0,iferror(INDEX(Drivers!$C$11:$N$13,MATCH($C13,Drivers!$B$11:$B$13,0),MATCH(min(((year(U$1)-YEAR($D13))*12+MONTH(U$1)-MONTH($D13)),12),Drivers!$C$10:$N$10))))</f>
        <v>1</v>
      </c>
      <c r="V13" s="67">
        <f t="array" ref="V13">if(AND($E13&lt;V$1,$E13&lt;&gt;0),0,iferror(INDEX(Drivers!$C$11:$N$13,MATCH($C13,Drivers!$B$11:$B$13,0),MATCH(min(((year(V$1)-YEAR($D13))*12+MONTH(V$1)-MONTH($D13)),12),Drivers!$C$10:$N$10))))</f>
        <v>1</v>
      </c>
      <c r="W13" s="67">
        <f t="array" ref="W13">if(AND($E13&lt;W$1,$E13&lt;&gt;0),0,iferror(INDEX(Drivers!$C$11:$N$13,MATCH($C13,Drivers!$B$11:$B$13,0),MATCH(min(((year(W$1)-YEAR($D13))*12+MONTH(W$1)-MONTH($D13)),12),Drivers!$C$10:$N$10))))</f>
        <v>1</v>
      </c>
      <c r="X13" s="67">
        <f t="array" ref="X13">if(AND($E13&lt;X$1,$E13&lt;&gt;0),0,iferror(INDEX(Drivers!$C$11:$N$13,MATCH($C13,Drivers!$B$11:$B$13,0),MATCH(min(((year(X$1)-YEAR($D13))*12+MONTH(X$1)-MONTH($D13)),12),Drivers!$C$10:$N$10))))</f>
        <v>1</v>
      </c>
      <c r="Y13" s="67">
        <f t="array" ref="Y13">if(AND($E13&lt;Y$1,$E13&lt;&gt;0),0,iferror(INDEX(Drivers!$C$11:$N$13,MATCH($C13,Drivers!$B$11:$B$13,0),MATCH(min(((year(Y$1)-YEAR($D13))*12+MONTH(Y$1)-MONTH($D13)),12),Drivers!$C$10:$N$10))))</f>
        <v>1</v>
      </c>
      <c r="Z13" s="67">
        <f t="array" ref="Z13">if(AND($E13&lt;Z$1,$E13&lt;&gt;0),0,iferror(INDEX(Drivers!$C$11:$N$13,MATCH($C13,Drivers!$B$11:$B$13,0),MATCH(min(((year(Z$1)-YEAR($D13))*12+MONTH(Z$1)-MONTH($D13)),12),Drivers!$C$10:$N$10))))</f>
        <v>1</v>
      </c>
      <c r="AA13" s="67">
        <f t="array" ref="AA13">if(AND($E13&lt;AA$1,$E13&lt;&gt;0),0,iferror(INDEX(Drivers!$C$11:$N$13,MATCH($C13,Drivers!$B$11:$B$13,0),MATCH(min(((year(AA$1)-YEAR($D13))*12+MONTH(AA$1)-MONTH($D13)),12),Drivers!$C$10:$N$10))))</f>
        <v>1</v>
      </c>
      <c r="AB13" s="67">
        <f t="array" ref="AB13">if(AND($E13&lt;AB$1,$E13&lt;&gt;0),0,iferror(INDEX(Drivers!$C$11:$N$13,MATCH($C13,Drivers!$B$11:$B$13,0),MATCH(min(((year(AB$1)-YEAR($D13))*12+MONTH(AB$1)-MONTH($D13)),12),Drivers!$C$10:$N$10))))</f>
        <v>1</v>
      </c>
      <c r="AC13" s="67">
        <f t="array" ref="AC13">if(AND($E13&lt;AC$1,$E13&lt;&gt;0),0,iferror(INDEX(Drivers!$C$11:$N$13,MATCH($C13,Drivers!$B$11:$B$13,0),MATCH(min(((year(AC$1)-YEAR($D13))*12+MONTH(AC$1)-MONTH($D13)),12),Drivers!$C$10:$N$10))))</f>
        <v>1</v>
      </c>
      <c r="AD13" s="67">
        <f t="array" ref="AD13">if(AND($E13&lt;AD$1,$E13&lt;&gt;0),0,iferror(INDEX(Drivers!$C$11:$N$13,MATCH($C13,Drivers!$B$11:$B$13,0),MATCH(min(((year(AD$1)-YEAR($D13))*12+MONTH(AD$1)-MONTH($D13)),12),Drivers!$C$10:$N$10))))</f>
        <v>1</v>
      </c>
    </row>
    <row r="14" ht="15.75" customHeight="1">
      <c r="A14" s="46"/>
      <c r="B14" s="64" t="s">
        <v>50</v>
      </c>
      <c r="C14" s="54" t="s">
        <v>39</v>
      </c>
      <c r="D14" s="65">
        <v>45200.0</v>
      </c>
      <c r="E14" s="66" t="s">
        <v>40</v>
      </c>
      <c r="F14" s="46"/>
      <c r="G14" s="67">
        <f t="array" ref="G14">if(AND($E14&lt;G$1,$E14&lt;&gt;0),0,iferror(INDEX(Drivers!$C$11:$N$13,MATCH($C14,Drivers!$B$11:$B$13,0),MATCH(min(((year(G$1)-YEAR($D14))*12+MONTH(G$1)-MONTH($D14)),12),Drivers!$C$10:$N$10))))</f>
        <v>0.25</v>
      </c>
      <c r="H14" s="67">
        <f t="array" ref="H14">if(AND($E14&lt;H$1,$E14&lt;&gt;0),0,iferror(INDEX(Drivers!$C$11:$N$13,MATCH($C14,Drivers!$B$11:$B$13,0),MATCH(min(((year(H$1)-YEAR($D14))*12+MONTH(H$1)-MONTH($D14)),12),Drivers!$C$10:$N$10))))</f>
        <v>0.5</v>
      </c>
      <c r="I14" s="67">
        <f t="array" ref="I14">if(AND($E14&lt;I$1,$E14&lt;&gt;0),0,iferror(INDEX(Drivers!$C$11:$N$13,MATCH($C14,Drivers!$B$11:$B$13,0),MATCH(min(((year(I$1)-YEAR($D14))*12+MONTH(I$1)-MONTH($D14)),12),Drivers!$C$10:$N$10))))</f>
        <v>0.5</v>
      </c>
      <c r="J14" s="67">
        <f t="array" ref="J14">if(AND($E14&lt;J$1,$E14&lt;&gt;0),0,iferror(INDEX(Drivers!$C$11:$N$13,MATCH($C14,Drivers!$B$11:$B$13,0),MATCH(min(((year(J$1)-YEAR($D14))*12+MONTH(J$1)-MONTH($D14)),12),Drivers!$C$10:$N$10))))</f>
        <v>0.75</v>
      </c>
      <c r="K14" s="67">
        <f t="array" ref="K14">if(AND($E14&lt;K$1,$E14&lt;&gt;0),0,iferror(INDEX(Drivers!$C$11:$N$13,MATCH($C14,Drivers!$B$11:$B$13,0),MATCH(min(((year(K$1)-YEAR($D14))*12+MONTH(K$1)-MONTH($D14)),12),Drivers!$C$10:$N$10))))</f>
        <v>0.75</v>
      </c>
      <c r="L14" s="67">
        <f t="array" ref="L14">if(AND($E14&lt;L$1,$E14&lt;&gt;0),0,iferror(INDEX(Drivers!$C$11:$N$13,MATCH($C14,Drivers!$B$11:$B$13,0),MATCH(min(((year(L$1)-YEAR($D14))*12+MONTH(L$1)-MONTH($D14)),12),Drivers!$C$10:$N$10))))</f>
        <v>1</v>
      </c>
      <c r="M14" s="67">
        <f t="array" ref="M14">if(AND($E14&lt;M$1,$E14&lt;&gt;0),0,iferror(INDEX(Drivers!$C$11:$N$13,MATCH($C14,Drivers!$B$11:$B$13,0),MATCH(min(((year(M$1)-YEAR($D14))*12+MONTH(M$1)-MONTH($D14)),12),Drivers!$C$10:$N$10))))</f>
        <v>1</v>
      </c>
      <c r="N14" s="67">
        <f t="array" ref="N14">if(AND($E14&lt;N$1,$E14&lt;&gt;0),0,iferror(INDEX(Drivers!$C$11:$N$13,MATCH($C14,Drivers!$B$11:$B$13,0),MATCH(min(((year(N$1)-YEAR($D14))*12+MONTH(N$1)-MONTH($D14)),12),Drivers!$C$10:$N$10))))</f>
        <v>1</v>
      </c>
      <c r="O14" s="67">
        <f t="array" ref="O14">if(AND($E14&lt;O$1,$E14&lt;&gt;0),0,iferror(INDEX(Drivers!$C$11:$N$13,MATCH($C14,Drivers!$B$11:$B$13,0),MATCH(min(((year(O$1)-YEAR($D14))*12+MONTH(O$1)-MONTH($D14)),12),Drivers!$C$10:$N$10))))</f>
        <v>1</v>
      </c>
      <c r="P14" s="67">
        <f t="array" ref="P14">if(AND($E14&lt;P$1,$E14&lt;&gt;0),0,iferror(INDEX(Drivers!$C$11:$N$13,MATCH($C14,Drivers!$B$11:$B$13,0),MATCH(min(((year(P$1)-YEAR($D14))*12+MONTH(P$1)-MONTH($D14)),12),Drivers!$C$10:$N$10))))</f>
        <v>1</v>
      </c>
      <c r="Q14" s="67">
        <f t="array" ref="Q14">if(AND($E14&lt;Q$1,$E14&lt;&gt;0),0,iferror(INDEX(Drivers!$C$11:$N$13,MATCH($C14,Drivers!$B$11:$B$13,0),MATCH(min(((year(Q$1)-YEAR($D14))*12+MONTH(Q$1)-MONTH($D14)),12),Drivers!$C$10:$N$10))))</f>
        <v>1</v>
      </c>
      <c r="R14" s="67">
        <f t="array" ref="R14">if(AND($E14&lt;R$1,$E14&lt;&gt;0),0,iferror(INDEX(Drivers!$C$11:$N$13,MATCH($C14,Drivers!$B$11:$B$13,0),MATCH(min(((year(R$1)-YEAR($D14))*12+MONTH(R$1)-MONTH($D14)),12),Drivers!$C$10:$N$10))))</f>
        <v>1</v>
      </c>
      <c r="S14" s="67">
        <f t="array" ref="S14">if(AND($E14&lt;S$1,$E14&lt;&gt;0),0,iferror(INDEX(Drivers!$C$11:$N$13,MATCH($C14,Drivers!$B$11:$B$13,0),MATCH(min(((year(S$1)-YEAR($D14))*12+MONTH(S$1)-MONTH($D14)),12),Drivers!$C$10:$N$10))))</f>
        <v>1</v>
      </c>
      <c r="T14" s="67">
        <f t="array" ref="T14">if(AND($E14&lt;T$1,$E14&lt;&gt;0),0,iferror(INDEX(Drivers!$C$11:$N$13,MATCH($C14,Drivers!$B$11:$B$13,0),MATCH(min(((year(T$1)-YEAR($D14))*12+MONTH(T$1)-MONTH($D14)),12),Drivers!$C$10:$N$10))))</f>
        <v>1</v>
      </c>
      <c r="U14" s="67">
        <f t="array" ref="U14">if(AND($E14&lt;U$1,$E14&lt;&gt;0),0,iferror(INDEX(Drivers!$C$11:$N$13,MATCH($C14,Drivers!$B$11:$B$13,0),MATCH(min(((year(U$1)-YEAR($D14))*12+MONTH(U$1)-MONTH($D14)),12),Drivers!$C$10:$N$10))))</f>
        <v>1</v>
      </c>
      <c r="V14" s="67">
        <f t="array" ref="V14">if(AND($E14&lt;V$1,$E14&lt;&gt;0),0,iferror(INDEX(Drivers!$C$11:$N$13,MATCH($C14,Drivers!$B$11:$B$13,0),MATCH(min(((year(V$1)-YEAR($D14))*12+MONTH(V$1)-MONTH($D14)),12),Drivers!$C$10:$N$10))))</f>
        <v>1</v>
      </c>
      <c r="W14" s="67">
        <f t="array" ref="W14">if(AND($E14&lt;W$1,$E14&lt;&gt;0),0,iferror(INDEX(Drivers!$C$11:$N$13,MATCH($C14,Drivers!$B$11:$B$13,0),MATCH(min(((year(W$1)-YEAR($D14))*12+MONTH(W$1)-MONTH($D14)),12),Drivers!$C$10:$N$10))))</f>
        <v>1</v>
      </c>
      <c r="X14" s="67">
        <f t="array" ref="X14">if(AND($E14&lt;X$1,$E14&lt;&gt;0),0,iferror(INDEX(Drivers!$C$11:$N$13,MATCH($C14,Drivers!$B$11:$B$13,0),MATCH(min(((year(X$1)-YEAR($D14))*12+MONTH(X$1)-MONTH($D14)),12),Drivers!$C$10:$N$10))))</f>
        <v>1</v>
      </c>
      <c r="Y14" s="67">
        <f t="array" ref="Y14">if(AND($E14&lt;Y$1,$E14&lt;&gt;0),0,iferror(INDEX(Drivers!$C$11:$N$13,MATCH($C14,Drivers!$B$11:$B$13,0),MATCH(min(((year(Y$1)-YEAR($D14))*12+MONTH(Y$1)-MONTH($D14)),12),Drivers!$C$10:$N$10))))</f>
        <v>1</v>
      </c>
      <c r="Z14" s="67">
        <f t="array" ref="Z14">if(AND($E14&lt;Z$1,$E14&lt;&gt;0),0,iferror(INDEX(Drivers!$C$11:$N$13,MATCH($C14,Drivers!$B$11:$B$13,0),MATCH(min(((year(Z$1)-YEAR($D14))*12+MONTH(Z$1)-MONTH($D14)),12),Drivers!$C$10:$N$10))))</f>
        <v>1</v>
      </c>
      <c r="AA14" s="67">
        <f t="array" ref="AA14">if(AND($E14&lt;AA$1,$E14&lt;&gt;0),0,iferror(INDEX(Drivers!$C$11:$N$13,MATCH($C14,Drivers!$B$11:$B$13,0),MATCH(min(((year(AA$1)-YEAR($D14))*12+MONTH(AA$1)-MONTH($D14)),12),Drivers!$C$10:$N$10))))</f>
        <v>1</v>
      </c>
      <c r="AB14" s="67">
        <f t="array" ref="AB14">if(AND($E14&lt;AB$1,$E14&lt;&gt;0),0,iferror(INDEX(Drivers!$C$11:$N$13,MATCH($C14,Drivers!$B$11:$B$13,0),MATCH(min(((year(AB$1)-YEAR($D14))*12+MONTH(AB$1)-MONTH($D14)),12),Drivers!$C$10:$N$10))))</f>
        <v>1</v>
      </c>
      <c r="AC14" s="67">
        <f t="array" ref="AC14">if(AND($E14&lt;AC$1,$E14&lt;&gt;0),0,iferror(INDEX(Drivers!$C$11:$N$13,MATCH($C14,Drivers!$B$11:$B$13,0),MATCH(min(((year(AC$1)-YEAR($D14))*12+MONTH(AC$1)-MONTH($D14)),12),Drivers!$C$10:$N$10))))</f>
        <v>1</v>
      </c>
      <c r="AD14" s="67">
        <f t="array" ref="AD14">if(AND($E14&lt;AD$1,$E14&lt;&gt;0),0,iferror(INDEX(Drivers!$C$11:$N$13,MATCH($C14,Drivers!$B$11:$B$13,0),MATCH(min(((year(AD$1)-YEAR($D14))*12+MONTH(AD$1)-MONTH($D14)),12),Drivers!$C$10:$N$10))))</f>
        <v>1</v>
      </c>
    </row>
    <row r="15" ht="15.75" customHeight="1">
      <c r="A15" s="46"/>
      <c r="B15" s="53"/>
      <c r="C15" s="54" t="s">
        <v>42</v>
      </c>
      <c r="D15" s="65">
        <v>45261.0</v>
      </c>
      <c r="E15" s="66" t="s">
        <v>40</v>
      </c>
      <c r="F15" s="46"/>
      <c r="G15" s="67">
        <f t="array" ref="G15">if(AND($E15&lt;G$1,$E15&lt;&gt;0),0,iferror(INDEX(Drivers!$C$11:$N$13,MATCH($C15,Drivers!$B$11:$B$13,0),MATCH(min(((year(G$1)-YEAR($D15))*12+MONTH(G$1)-MONTH($D15)),12),Drivers!$C$10:$N$10))))</f>
        <v>0</v>
      </c>
      <c r="H15" s="67">
        <f t="array" ref="H15">if(AND($E15&lt;H$1,$E15&lt;&gt;0),0,iferror(INDEX(Drivers!$C$11:$N$13,MATCH($C15,Drivers!$B$11:$B$13,0),MATCH(min(((year(H$1)-YEAR($D15))*12+MONTH(H$1)-MONTH($D15)),12),Drivers!$C$10:$N$10))))</f>
        <v>0.25</v>
      </c>
      <c r="I15" s="67">
        <f t="array" ref="I15">if(AND($E15&lt;I$1,$E15&lt;&gt;0),0,iferror(INDEX(Drivers!$C$11:$N$13,MATCH($C15,Drivers!$B$11:$B$13,0),MATCH(min(((year(I$1)-YEAR($D15))*12+MONTH(I$1)-MONTH($D15)),12),Drivers!$C$10:$N$10))))</f>
        <v>0.5</v>
      </c>
      <c r="J15" s="67">
        <f t="array" ref="J15">if(AND($E15&lt;J$1,$E15&lt;&gt;0),0,iferror(INDEX(Drivers!$C$11:$N$13,MATCH($C15,Drivers!$B$11:$B$13,0),MATCH(min(((year(J$1)-YEAR($D15))*12+MONTH(J$1)-MONTH($D15)),12),Drivers!$C$10:$N$10))))</f>
        <v>0.75</v>
      </c>
      <c r="K15" s="67">
        <f t="array" ref="K15">if(AND($E15&lt;K$1,$E15&lt;&gt;0),0,iferror(INDEX(Drivers!$C$11:$N$13,MATCH($C15,Drivers!$B$11:$B$13,0),MATCH(min(((year(K$1)-YEAR($D15))*12+MONTH(K$1)-MONTH($D15)),12),Drivers!$C$10:$N$10))))</f>
        <v>1</v>
      </c>
      <c r="L15" s="67">
        <f t="array" ref="L15">if(AND($E15&lt;L$1,$E15&lt;&gt;0),0,iferror(INDEX(Drivers!$C$11:$N$13,MATCH($C15,Drivers!$B$11:$B$13,0),MATCH(min(((year(L$1)-YEAR($D15))*12+MONTH(L$1)-MONTH($D15)),12),Drivers!$C$10:$N$10))))</f>
        <v>1</v>
      </c>
      <c r="M15" s="67">
        <f t="array" ref="M15">if(AND($E15&lt;M$1,$E15&lt;&gt;0),0,iferror(INDEX(Drivers!$C$11:$N$13,MATCH($C15,Drivers!$B$11:$B$13,0),MATCH(min(((year(M$1)-YEAR($D15))*12+MONTH(M$1)-MONTH($D15)),12),Drivers!$C$10:$N$10))))</f>
        <v>1</v>
      </c>
      <c r="N15" s="67">
        <f t="array" ref="N15">if(AND($E15&lt;N$1,$E15&lt;&gt;0),0,iferror(INDEX(Drivers!$C$11:$N$13,MATCH($C15,Drivers!$B$11:$B$13,0),MATCH(min(((year(N$1)-YEAR($D15))*12+MONTH(N$1)-MONTH($D15)),12),Drivers!$C$10:$N$10))))</f>
        <v>1</v>
      </c>
      <c r="O15" s="67">
        <f t="array" ref="O15">if(AND($E15&lt;O$1,$E15&lt;&gt;0),0,iferror(INDEX(Drivers!$C$11:$N$13,MATCH($C15,Drivers!$B$11:$B$13,0),MATCH(min(((year(O$1)-YEAR($D15))*12+MONTH(O$1)-MONTH($D15)),12),Drivers!$C$10:$N$10))))</f>
        <v>1</v>
      </c>
      <c r="P15" s="67">
        <f t="array" ref="P15">if(AND($E15&lt;P$1,$E15&lt;&gt;0),0,iferror(INDEX(Drivers!$C$11:$N$13,MATCH($C15,Drivers!$B$11:$B$13,0),MATCH(min(((year(P$1)-YEAR($D15))*12+MONTH(P$1)-MONTH($D15)),12),Drivers!$C$10:$N$10))))</f>
        <v>1</v>
      </c>
      <c r="Q15" s="67">
        <f t="array" ref="Q15">if(AND($E15&lt;Q$1,$E15&lt;&gt;0),0,iferror(INDEX(Drivers!$C$11:$N$13,MATCH($C15,Drivers!$B$11:$B$13,0),MATCH(min(((year(Q$1)-YEAR($D15))*12+MONTH(Q$1)-MONTH($D15)),12),Drivers!$C$10:$N$10))))</f>
        <v>1</v>
      </c>
      <c r="R15" s="67">
        <f t="array" ref="R15">if(AND($E15&lt;R$1,$E15&lt;&gt;0),0,iferror(INDEX(Drivers!$C$11:$N$13,MATCH($C15,Drivers!$B$11:$B$13,0),MATCH(min(((year(R$1)-YEAR($D15))*12+MONTH(R$1)-MONTH($D15)),12),Drivers!$C$10:$N$10))))</f>
        <v>1</v>
      </c>
      <c r="S15" s="67">
        <f t="array" ref="S15">if(AND($E15&lt;S$1,$E15&lt;&gt;0),0,iferror(INDEX(Drivers!$C$11:$N$13,MATCH($C15,Drivers!$B$11:$B$13,0),MATCH(min(((year(S$1)-YEAR($D15))*12+MONTH(S$1)-MONTH($D15)),12),Drivers!$C$10:$N$10))))</f>
        <v>1</v>
      </c>
      <c r="T15" s="67">
        <f t="array" ref="T15">if(AND($E15&lt;T$1,$E15&lt;&gt;0),0,iferror(INDEX(Drivers!$C$11:$N$13,MATCH($C15,Drivers!$B$11:$B$13,0),MATCH(min(((year(T$1)-YEAR($D15))*12+MONTH(T$1)-MONTH($D15)),12),Drivers!$C$10:$N$10))))</f>
        <v>1</v>
      </c>
      <c r="U15" s="67">
        <f t="array" ref="U15">if(AND($E15&lt;U$1,$E15&lt;&gt;0),0,iferror(INDEX(Drivers!$C$11:$N$13,MATCH($C15,Drivers!$B$11:$B$13,0),MATCH(min(((year(U$1)-YEAR($D15))*12+MONTH(U$1)-MONTH($D15)),12),Drivers!$C$10:$N$10))))</f>
        <v>1</v>
      </c>
      <c r="V15" s="67">
        <f t="array" ref="V15">if(AND($E15&lt;V$1,$E15&lt;&gt;0),0,iferror(INDEX(Drivers!$C$11:$N$13,MATCH($C15,Drivers!$B$11:$B$13,0),MATCH(min(((year(V$1)-YEAR($D15))*12+MONTH(V$1)-MONTH($D15)),12),Drivers!$C$10:$N$10))))</f>
        <v>1</v>
      </c>
      <c r="W15" s="67">
        <f t="array" ref="W15">if(AND($E15&lt;W$1,$E15&lt;&gt;0),0,iferror(INDEX(Drivers!$C$11:$N$13,MATCH($C15,Drivers!$B$11:$B$13,0),MATCH(min(((year(W$1)-YEAR($D15))*12+MONTH(W$1)-MONTH($D15)),12),Drivers!$C$10:$N$10))))</f>
        <v>1</v>
      </c>
      <c r="X15" s="67">
        <f t="array" ref="X15">if(AND($E15&lt;X$1,$E15&lt;&gt;0),0,iferror(INDEX(Drivers!$C$11:$N$13,MATCH($C15,Drivers!$B$11:$B$13,0),MATCH(min(((year(X$1)-YEAR($D15))*12+MONTH(X$1)-MONTH($D15)),12),Drivers!$C$10:$N$10))))</f>
        <v>1</v>
      </c>
      <c r="Y15" s="67">
        <f t="array" ref="Y15">if(AND($E15&lt;Y$1,$E15&lt;&gt;0),0,iferror(INDEX(Drivers!$C$11:$N$13,MATCH($C15,Drivers!$B$11:$B$13,0),MATCH(min(((year(Y$1)-YEAR($D15))*12+MONTH(Y$1)-MONTH($D15)),12),Drivers!$C$10:$N$10))))</f>
        <v>1</v>
      </c>
      <c r="Z15" s="67">
        <f t="array" ref="Z15">if(AND($E15&lt;Z$1,$E15&lt;&gt;0),0,iferror(INDEX(Drivers!$C$11:$N$13,MATCH($C15,Drivers!$B$11:$B$13,0),MATCH(min(((year(Z$1)-YEAR($D15))*12+MONTH(Z$1)-MONTH($D15)),12),Drivers!$C$10:$N$10))))</f>
        <v>1</v>
      </c>
      <c r="AA15" s="67">
        <f t="array" ref="AA15">if(AND($E15&lt;AA$1,$E15&lt;&gt;0),0,iferror(INDEX(Drivers!$C$11:$N$13,MATCH($C15,Drivers!$B$11:$B$13,0),MATCH(min(((year(AA$1)-YEAR($D15))*12+MONTH(AA$1)-MONTH($D15)),12),Drivers!$C$10:$N$10))))</f>
        <v>1</v>
      </c>
      <c r="AB15" s="67">
        <f t="array" ref="AB15">if(AND($E15&lt;AB$1,$E15&lt;&gt;0),0,iferror(INDEX(Drivers!$C$11:$N$13,MATCH($C15,Drivers!$B$11:$B$13,0),MATCH(min(((year(AB$1)-YEAR($D15))*12+MONTH(AB$1)-MONTH($D15)),12),Drivers!$C$10:$N$10))))</f>
        <v>1</v>
      </c>
      <c r="AC15" s="67">
        <f t="array" ref="AC15">if(AND($E15&lt;AC$1,$E15&lt;&gt;0),0,iferror(INDEX(Drivers!$C$11:$N$13,MATCH($C15,Drivers!$B$11:$B$13,0),MATCH(min(((year(AC$1)-YEAR($D15))*12+MONTH(AC$1)-MONTH($D15)),12),Drivers!$C$10:$N$10))))</f>
        <v>1</v>
      </c>
      <c r="AD15" s="67">
        <f t="array" ref="AD15">if(AND($E15&lt;AD$1,$E15&lt;&gt;0),0,iferror(INDEX(Drivers!$C$11:$N$13,MATCH($C15,Drivers!$B$11:$B$13,0),MATCH(min(((year(AD$1)-YEAR($D15))*12+MONTH(AD$1)-MONTH($D15)),12),Drivers!$C$10:$N$10))))</f>
        <v>1</v>
      </c>
    </row>
    <row r="16" ht="15.75" customHeight="1">
      <c r="A16" s="46"/>
      <c r="B16" s="53"/>
      <c r="C16" s="54" t="s">
        <v>42</v>
      </c>
      <c r="D16" s="65">
        <v>45321.0</v>
      </c>
      <c r="E16" s="66" t="s">
        <v>40</v>
      </c>
      <c r="F16" s="46"/>
      <c r="G16" s="67">
        <f t="array" ref="G16">if(AND($E16&lt;G$1,$E16&lt;&gt;0),0,iferror(INDEX(Drivers!$C$11:$N$13,MATCH($C16,Drivers!$B$11:$B$13,0),MATCH(min(((year(G$1)-YEAR($D16))*12+MONTH(G$1)-MONTH($D16)),12),Drivers!$C$10:$N$10))))</f>
        <v>0</v>
      </c>
      <c r="H16" s="67">
        <f t="array" ref="H16">if(AND($E16&lt;H$1,$E16&lt;&gt;0),0,iferror(INDEX(Drivers!$C$11:$N$13,MATCH($C16,Drivers!$B$11:$B$13,0),MATCH(min(((year(H$1)-YEAR($D16))*12+MONTH(H$1)-MONTH($D16)),12),Drivers!$C$10:$N$10))))</f>
        <v>0</v>
      </c>
      <c r="I16" s="67">
        <f t="array" ref="I16">if(AND($E16&lt;I$1,$E16&lt;&gt;0),0,iferror(INDEX(Drivers!$C$11:$N$13,MATCH($C16,Drivers!$B$11:$B$13,0),MATCH(min(((year(I$1)-YEAR($D16))*12+MONTH(I$1)-MONTH($D16)),12),Drivers!$C$10:$N$10))))</f>
        <v>0.25</v>
      </c>
      <c r="J16" s="67">
        <f t="array" ref="J16">if(AND($E16&lt;J$1,$E16&lt;&gt;0),0,iferror(INDEX(Drivers!$C$11:$N$13,MATCH($C16,Drivers!$B$11:$B$13,0),MATCH(min(((year(J$1)-YEAR($D16))*12+MONTH(J$1)-MONTH($D16)),12),Drivers!$C$10:$N$10))))</f>
        <v>0.5</v>
      </c>
      <c r="K16" s="67">
        <f t="array" ref="K16">if(AND($E16&lt;K$1,$E16&lt;&gt;0),0,iferror(INDEX(Drivers!$C$11:$N$13,MATCH($C16,Drivers!$B$11:$B$13,0),MATCH(min(((year(K$1)-YEAR($D16))*12+MONTH(K$1)-MONTH($D16)),12),Drivers!$C$10:$N$10))))</f>
        <v>0.75</v>
      </c>
      <c r="L16" s="67">
        <f t="array" ref="L16">if(AND($E16&lt;L$1,$E16&lt;&gt;0),0,iferror(INDEX(Drivers!$C$11:$N$13,MATCH($C16,Drivers!$B$11:$B$13,0),MATCH(min(((year(L$1)-YEAR($D16))*12+MONTH(L$1)-MONTH($D16)),12),Drivers!$C$10:$N$10))))</f>
        <v>1</v>
      </c>
      <c r="M16" s="67">
        <f t="array" ref="M16">if(AND($E16&lt;M$1,$E16&lt;&gt;0),0,iferror(INDEX(Drivers!$C$11:$N$13,MATCH($C16,Drivers!$B$11:$B$13,0),MATCH(min(((year(M$1)-YEAR($D16))*12+MONTH(M$1)-MONTH($D16)),12),Drivers!$C$10:$N$10))))</f>
        <v>1</v>
      </c>
      <c r="N16" s="67">
        <f t="array" ref="N16">if(AND($E16&lt;N$1,$E16&lt;&gt;0),0,iferror(INDEX(Drivers!$C$11:$N$13,MATCH($C16,Drivers!$B$11:$B$13,0),MATCH(min(((year(N$1)-YEAR($D16))*12+MONTH(N$1)-MONTH($D16)),12),Drivers!$C$10:$N$10))))</f>
        <v>1</v>
      </c>
      <c r="O16" s="67">
        <f t="array" ref="O16">if(AND($E16&lt;O$1,$E16&lt;&gt;0),0,iferror(INDEX(Drivers!$C$11:$N$13,MATCH($C16,Drivers!$B$11:$B$13,0),MATCH(min(((year(O$1)-YEAR($D16))*12+MONTH(O$1)-MONTH($D16)),12),Drivers!$C$10:$N$10))))</f>
        <v>1</v>
      </c>
      <c r="P16" s="67">
        <f t="array" ref="P16">if(AND($E16&lt;P$1,$E16&lt;&gt;0),0,iferror(INDEX(Drivers!$C$11:$N$13,MATCH($C16,Drivers!$B$11:$B$13,0),MATCH(min(((year(P$1)-YEAR($D16))*12+MONTH(P$1)-MONTH($D16)),12),Drivers!$C$10:$N$10))))</f>
        <v>1</v>
      </c>
      <c r="Q16" s="67">
        <f t="array" ref="Q16">if(AND($E16&lt;Q$1,$E16&lt;&gt;0),0,iferror(INDEX(Drivers!$C$11:$N$13,MATCH($C16,Drivers!$B$11:$B$13,0),MATCH(min(((year(Q$1)-YEAR($D16))*12+MONTH(Q$1)-MONTH($D16)),12),Drivers!$C$10:$N$10))))</f>
        <v>1</v>
      </c>
      <c r="R16" s="67">
        <f t="array" ref="R16">if(AND($E16&lt;R$1,$E16&lt;&gt;0),0,iferror(INDEX(Drivers!$C$11:$N$13,MATCH($C16,Drivers!$B$11:$B$13,0),MATCH(min(((year(R$1)-YEAR($D16))*12+MONTH(R$1)-MONTH($D16)),12),Drivers!$C$10:$N$10))))</f>
        <v>1</v>
      </c>
      <c r="S16" s="67">
        <f t="array" ref="S16">if(AND($E16&lt;S$1,$E16&lt;&gt;0),0,iferror(INDEX(Drivers!$C$11:$N$13,MATCH($C16,Drivers!$B$11:$B$13,0),MATCH(min(((year(S$1)-YEAR($D16))*12+MONTH(S$1)-MONTH($D16)),12),Drivers!$C$10:$N$10))))</f>
        <v>1</v>
      </c>
      <c r="T16" s="67">
        <f t="array" ref="T16">if(AND($E16&lt;T$1,$E16&lt;&gt;0),0,iferror(INDEX(Drivers!$C$11:$N$13,MATCH($C16,Drivers!$B$11:$B$13,0),MATCH(min(((year(T$1)-YEAR($D16))*12+MONTH(T$1)-MONTH($D16)),12),Drivers!$C$10:$N$10))))</f>
        <v>1</v>
      </c>
      <c r="U16" s="67">
        <f t="array" ref="U16">if(AND($E16&lt;U$1,$E16&lt;&gt;0),0,iferror(INDEX(Drivers!$C$11:$N$13,MATCH($C16,Drivers!$B$11:$B$13,0),MATCH(min(((year(U$1)-YEAR($D16))*12+MONTH(U$1)-MONTH($D16)),12),Drivers!$C$10:$N$10))))</f>
        <v>1</v>
      </c>
      <c r="V16" s="67">
        <f t="array" ref="V16">if(AND($E16&lt;V$1,$E16&lt;&gt;0),0,iferror(INDEX(Drivers!$C$11:$N$13,MATCH($C16,Drivers!$B$11:$B$13,0),MATCH(min(((year(V$1)-YEAR($D16))*12+MONTH(V$1)-MONTH($D16)),12),Drivers!$C$10:$N$10))))</f>
        <v>1</v>
      </c>
      <c r="W16" s="67">
        <f t="array" ref="W16">if(AND($E16&lt;W$1,$E16&lt;&gt;0),0,iferror(INDEX(Drivers!$C$11:$N$13,MATCH($C16,Drivers!$B$11:$B$13,0),MATCH(min(((year(W$1)-YEAR($D16))*12+MONTH(W$1)-MONTH($D16)),12),Drivers!$C$10:$N$10))))</f>
        <v>1</v>
      </c>
      <c r="X16" s="67">
        <f t="array" ref="X16">if(AND($E16&lt;X$1,$E16&lt;&gt;0),0,iferror(INDEX(Drivers!$C$11:$N$13,MATCH($C16,Drivers!$B$11:$B$13,0),MATCH(min(((year(X$1)-YEAR($D16))*12+MONTH(X$1)-MONTH($D16)),12),Drivers!$C$10:$N$10))))</f>
        <v>1</v>
      </c>
      <c r="Y16" s="67">
        <f t="array" ref="Y16">if(AND($E16&lt;Y$1,$E16&lt;&gt;0),0,iferror(INDEX(Drivers!$C$11:$N$13,MATCH($C16,Drivers!$B$11:$B$13,0),MATCH(min(((year(Y$1)-YEAR($D16))*12+MONTH(Y$1)-MONTH($D16)),12),Drivers!$C$10:$N$10))))</f>
        <v>1</v>
      </c>
      <c r="Z16" s="67">
        <f t="array" ref="Z16">if(AND($E16&lt;Z$1,$E16&lt;&gt;0),0,iferror(INDEX(Drivers!$C$11:$N$13,MATCH($C16,Drivers!$B$11:$B$13,0),MATCH(min(((year(Z$1)-YEAR($D16))*12+MONTH(Z$1)-MONTH($D16)),12),Drivers!$C$10:$N$10))))</f>
        <v>1</v>
      </c>
      <c r="AA16" s="67">
        <f t="array" ref="AA16">if(AND($E16&lt;AA$1,$E16&lt;&gt;0),0,iferror(INDEX(Drivers!$C$11:$N$13,MATCH($C16,Drivers!$B$11:$B$13,0),MATCH(min(((year(AA$1)-YEAR($D16))*12+MONTH(AA$1)-MONTH($D16)),12),Drivers!$C$10:$N$10))))</f>
        <v>1</v>
      </c>
      <c r="AB16" s="67">
        <f t="array" ref="AB16">if(AND($E16&lt;AB$1,$E16&lt;&gt;0),0,iferror(INDEX(Drivers!$C$11:$N$13,MATCH($C16,Drivers!$B$11:$B$13,0),MATCH(min(((year(AB$1)-YEAR($D16))*12+MONTH(AB$1)-MONTH($D16)),12),Drivers!$C$10:$N$10))))</f>
        <v>1</v>
      </c>
      <c r="AC16" s="67">
        <f t="array" ref="AC16">if(AND($E16&lt;AC$1,$E16&lt;&gt;0),0,iferror(INDEX(Drivers!$C$11:$N$13,MATCH($C16,Drivers!$B$11:$B$13,0),MATCH(min(((year(AC$1)-YEAR($D16))*12+MONTH(AC$1)-MONTH($D16)),12),Drivers!$C$10:$N$10))))</f>
        <v>1</v>
      </c>
      <c r="AD16" s="67">
        <f t="array" ref="AD16">if(AND($E16&lt;AD$1,$E16&lt;&gt;0),0,iferror(INDEX(Drivers!$C$11:$N$13,MATCH($C16,Drivers!$B$11:$B$13,0),MATCH(min(((year(AD$1)-YEAR($D16))*12+MONTH(AD$1)-MONTH($D16)),12),Drivers!$C$10:$N$10))))</f>
        <v>1</v>
      </c>
    </row>
    <row r="17" ht="15.75" customHeight="1">
      <c r="A17" s="46"/>
      <c r="B17" s="53"/>
      <c r="C17" s="54" t="s">
        <v>51</v>
      </c>
      <c r="D17" s="65">
        <v>45337.0</v>
      </c>
      <c r="E17" s="66" t="s">
        <v>40</v>
      </c>
      <c r="F17" s="46"/>
      <c r="G17" s="67" t="str">
        <f t="array" ref="G17">if(AND($E17&lt;G$1,$E17&lt;&gt;0),0,iferror(INDEX(Drivers!$C$11:$N$13,MATCH($C17,Drivers!$B$11:$B$13,0),MATCH(min(((year(G$1)-YEAR($D17))*12+MONTH(G$1)-MONTH($D17)),12),Drivers!$C$10:$N$10))))</f>
        <v/>
      </c>
      <c r="H17" s="67">
        <f t="array" ref="H17">if(AND($E17&lt;H$1,$E17&lt;&gt;0),0,iferror(INDEX(Drivers!$C$11:$N$13,MATCH($C17,Drivers!$B$11:$B$13,0),MATCH(min(((year(H$1)-YEAR($D17))*12+MONTH(H$1)-MONTH($D17)),12),Drivers!$C$10:$N$10))))</f>
        <v>0</v>
      </c>
      <c r="I17" s="67">
        <f t="array" ref="I17">if(AND($E17&lt;I$1,$E17&lt;&gt;0),0,iferror(INDEX(Drivers!$C$11:$N$13,MATCH($C17,Drivers!$B$11:$B$13,0),MATCH(min(((year(I$1)-YEAR($D17))*12+MONTH(I$1)-MONTH($D17)),12),Drivers!$C$10:$N$10))))</f>
        <v>0</v>
      </c>
      <c r="J17" s="67">
        <f t="array" ref="J17">if(AND($E17&lt;J$1,$E17&lt;&gt;0),0,iferror(INDEX(Drivers!$C$11:$N$13,MATCH($C17,Drivers!$B$11:$B$13,0),MATCH(min(((year(J$1)-YEAR($D17))*12+MONTH(J$1)-MONTH($D17)),12),Drivers!$C$10:$N$10))))</f>
        <v>0.5</v>
      </c>
      <c r="K17" s="67">
        <f t="array" ref="K17">if(AND($E17&lt;K$1,$E17&lt;&gt;0),0,iferror(INDEX(Drivers!$C$11:$N$13,MATCH($C17,Drivers!$B$11:$B$13,0),MATCH(min(((year(K$1)-YEAR($D17))*12+MONTH(K$1)-MONTH($D17)),12),Drivers!$C$10:$N$10))))</f>
        <v>0.75</v>
      </c>
      <c r="L17" s="67">
        <f t="array" ref="L17">if(AND($E17&lt;L$1,$E17&lt;&gt;0),0,iferror(INDEX(Drivers!$C$11:$N$13,MATCH($C17,Drivers!$B$11:$B$13,0),MATCH(min(((year(L$1)-YEAR($D17))*12+MONTH(L$1)-MONTH($D17)),12),Drivers!$C$10:$N$10))))</f>
        <v>1</v>
      </c>
      <c r="M17" s="67">
        <f t="array" ref="M17">if(AND($E17&lt;M$1,$E17&lt;&gt;0),0,iferror(INDEX(Drivers!$C$11:$N$13,MATCH($C17,Drivers!$B$11:$B$13,0),MATCH(min(((year(M$1)-YEAR($D17))*12+MONTH(M$1)-MONTH($D17)),12),Drivers!$C$10:$N$10))))</f>
        <v>1</v>
      </c>
      <c r="N17" s="67">
        <f t="array" ref="N17">if(AND($E17&lt;N$1,$E17&lt;&gt;0),0,iferror(INDEX(Drivers!$C$11:$N$13,MATCH($C17,Drivers!$B$11:$B$13,0),MATCH(min(((year(N$1)-YEAR($D17))*12+MONTH(N$1)-MONTH($D17)),12),Drivers!$C$10:$N$10))))</f>
        <v>1</v>
      </c>
      <c r="O17" s="67">
        <f t="array" ref="O17">if(AND($E17&lt;O$1,$E17&lt;&gt;0),0,iferror(INDEX(Drivers!$C$11:$N$13,MATCH($C17,Drivers!$B$11:$B$13,0),MATCH(min(((year(O$1)-YEAR($D17))*12+MONTH(O$1)-MONTH($D17)),12),Drivers!$C$10:$N$10))))</f>
        <v>1</v>
      </c>
      <c r="P17" s="67">
        <f t="array" ref="P17">if(AND($E17&lt;P$1,$E17&lt;&gt;0),0,iferror(INDEX(Drivers!$C$11:$N$13,MATCH($C17,Drivers!$B$11:$B$13,0),MATCH(min(((year(P$1)-YEAR($D17))*12+MONTH(P$1)-MONTH($D17)),12),Drivers!$C$10:$N$10))))</f>
        <v>1</v>
      </c>
      <c r="Q17" s="67">
        <f t="array" ref="Q17">if(AND($E17&lt;Q$1,$E17&lt;&gt;0),0,iferror(INDEX(Drivers!$C$11:$N$13,MATCH($C17,Drivers!$B$11:$B$13,0),MATCH(min(((year(Q$1)-YEAR($D17))*12+MONTH(Q$1)-MONTH($D17)),12),Drivers!$C$10:$N$10))))</f>
        <v>1</v>
      </c>
      <c r="R17" s="67">
        <f t="array" ref="R17">if(AND($E17&lt;R$1,$E17&lt;&gt;0),0,iferror(INDEX(Drivers!$C$11:$N$13,MATCH($C17,Drivers!$B$11:$B$13,0),MATCH(min(((year(R$1)-YEAR($D17))*12+MONTH(R$1)-MONTH($D17)),12),Drivers!$C$10:$N$10))))</f>
        <v>1</v>
      </c>
      <c r="S17" s="67">
        <f t="array" ref="S17">if(AND($E17&lt;S$1,$E17&lt;&gt;0),0,iferror(INDEX(Drivers!$C$11:$N$13,MATCH($C17,Drivers!$B$11:$B$13,0),MATCH(min(((year(S$1)-YEAR($D17))*12+MONTH(S$1)-MONTH($D17)),12),Drivers!$C$10:$N$10))))</f>
        <v>1</v>
      </c>
      <c r="T17" s="67">
        <f t="array" ref="T17">if(AND($E17&lt;T$1,$E17&lt;&gt;0),0,iferror(INDEX(Drivers!$C$11:$N$13,MATCH($C17,Drivers!$B$11:$B$13,0),MATCH(min(((year(T$1)-YEAR($D17))*12+MONTH(T$1)-MONTH($D17)),12),Drivers!$C$10:$N$10))))</f>
        <v>1</v>
      </c>
      <c r="U17" s="67">
        <f t="array" ref="U17">if(AND($E17&lt;U$1,$E17&lt;&gt;0),0,iferror(INDEX(Drivers!$C$11:$N$13,MATCH($C17,Drivers!$B$11:$B$13,0),MATCH(min(((year(U$1)-YEAR($D17))*12+MONTH(U$1)-MONTH($D17)),12),Drivers!$C$10:$N$10))))</f>
        <v>1</v>
      </c>
      <c r="V17" s="67">
        <f t="array" ref="V17">if(AND($E17&lt;V$1,$E17&lt;&gt;0),0,iferror(INDEX(Drivers!$C$11:$N$13,MATCH($C17,Drivers!$B$11:$B$13,0),MATCH(min(((year(V$1)-YEAR($D17))*12+MONTH(V$1)-MONTH($D17)),12),Drivers!$C$10:$N$10))))</f>
        <v>1</v>
      </c>
      <c r="W17" s="67">
        <f t="array" ref="W17">if(AND($E17&lt;W$1,$E17&lt;&gt;0),0,iferror(INDEX(Drivers!$C$11:$N$13,MATCH($C17,Drivers!$B$11:$B$13,0),MATCH(min(((year(W$1)-YEAR($D17))*12+MONTH(W$1)-MONTH($D17)),12),Drivers!$C$10:$N$10))))</f>
        <v>1</v>
      </c>
      <c r="X17" s="67">
        <f t="array" ref="X17">if(AND($E17&lt;X$1,$E17&lt;&gt;0),0,iferror(INDEX(Drivers!$C$11:$N$13,MATCH($C17,Drivers!$B$11:$B$13,0),MATCH(min(((year(X$1)-YEAR($D17))*12+MONTH(X$1)-MONTH($D17)),12),Drivers!$C$10:$N$10))))</f>
        <v>1</v>
      </c>
      <c r="Y17" s="67">
        <f t="array" ref="Y17">if(AND($E17&lt;Y$1,$E17&lt;&gt;0),0,iferror(INDEX(Drivers!$C$11:$N$13,MATCH($C17,Drivers!$B$11:$B$13,0),MATCH(min(((year(Y$1)-YEAR($D17))*12+MONTH(Y$1)-MONTH($D17)),12),Drivers!$C$10:$N$10))))</f>
        <v>1</v>
      </c>
      <c r="Z17" s="67">
        <f t="array" ref="Z17">if(AND($E17&lt;Z$1,$E17&lt;&gt;0),0,iferror(INDEX(Drivers!$C$11:$N$13,MATCH($C17,Drivers!$B$11:$B$13,0),MATCH(min(((year(Z$1)-YEAR($D17))*12+MONTH(Z$1)-MONTH($D17)),12),Drivers!$C$10:$N$10))))</f>
        <v>1</v>
      </c>
      <c r="AA17" s="67">
        <f t="array" ref="AA17">if(AND($E17&lt;AA$1,$E17&lt;&gt;0),0,iferror(INDEX(Drivers!$C$11:$N$13,MATCH($C17,Drivers!$B$11:$B$13,0),MATCH(min(((year(AA$1)-YEAR($D17))*12+MONTH(AA$1)-MONTH($D17)),12),Drivers!$C$10:$N$10))))</f>
        <v>1</v>
      </c>
      <c r="AB17" s="67">
        <f t="array" ref="AB17">if(AND($E17&lt;AB$1,$E17&lt;&gt;0),0,iferror(INDEX(Drivers!$C$11:$N$13,MATCH($C17,Drivers!$B$11:$B$13,0),MATCH(min(((year(AB$1)-YEAR($D17))*12+MONTH(AB$1)-MONTH($D17)),12),Drivers!$C$10:$N$10))))</f>
        <v>1</v>
      </c>
      <c r="AC17" s="67">
        <f t="array" ref="AC17">if(AND($E17&lt;AC$1,$E17&lt;&gt;0),0,iferror(INDEX(Drivers!$C$11:$N$13,MATCH($C17,Drivers!$B$11:$B$13,0),MATCH(min(((year(AC$1)-YEAR($D17))*12+MONTH(AC$1)-MONTH($D17)),12),Drivers!$C$10:$N$10))))</f>
        <v>1</v>
      </c>
      <c r="AD17" s="67">
        <f t="array" ref="AD17">if(AND($E17&lt;AD$1,$E17&lt;&gt;0),0,iferror(INDEX(Drivers!$C$11:$N$13,MATCH($C17,Drivers!$B$11:$B$13,0),MATCH(min(((year(AD$1)-YEAR($D17))*12+MONTH(AD$1)-MONTH($D17)),12),Drivers!$C$10:$N$10))))</f>
        <v>1</v>
      </c>
    </row>
    <row r="18" ht="15.75" customHeight="1">
      <c r="A18" s="46"/>
      <c r="B18" s="53"/>
      <c r="C18" s="54" t="s">
        <v>51</v>
      </c>
      <c r="D18" s="65">
        <v>45597.0</v>
      </c>
      <c r="E18" s="66" t="s">
        <v>40</v>
      </c>
      <c r="F18" s="46"/>
      <c r="G18" s="67" t="str">
        <f t="array" ref="G18">if(AND($E18&lt;G$1,$E18&lt;&gt;0),0,iferror(INDEX(Drivers!$C$11:$N$13,MATCH($C18,Drivers!$B$11:$B$13,0),MATCH(min(((year(G$1)-YEAR($D18))*12+MONTH(G$1)-MONTH($D18)),12),Drivers!$C$10:$N$10))))</f>
        <v/>
      </c>
      <c r="H18" s="67" t="str">
        <f t="array" ref="H18">if(AND($E18&lt;H$1,$E18&lt;&gt;0),0,iferror(INDEX(Drivers!$C$11:$N$13,MATCH($C18,Drivers!$B$11:$B$13,0),MATCH(min(((year(H$1)-YEAR($D18))*12+MONTH(H$1)-MONTH($D18)),12),Drivers!$C$10:$N$10))))</f>
        <v/>
      </c>
      <c r="I18" s="67" t="str">
        <f t="array" ref="I18">if(AND($E18&lt;I$1,$E18&lt;&gt;0),0,iferror(INDEX(Drivers!$C$11:$N$13,MATCH($C18,Drivers!$B$11:$B$13,0),MATCH(min(((year(I$1)-YEAR($D18))*12+MONTH(I$1)-MONTH($D18)),12),Drivers!$C$10:$N$10))))</f>
        <v/>
      </c>
      <c r="J18" s="67" t="str">
        <f t="array" ref="J18">if(AND($E18&lt;J$1,$E18&lt;&gt;0),0,iferror(INDEX(Drivers!$C$11:$N$13,MATCH($C18,Drivers!$B$11:$B$13,0),MATCH(min(((year(J$1)-YEAR($D18))*12+MONTH(J$1)-MONTH($D18)),12),Drivers!$C$10:$N$10))))</f>
        <v/>
      </c>
      <c r="K18" s="67" t="str">
        <f t="array" ref="K18">if(AND($E18&lt;K$1,$E18&lt;&gt;0),0,iferror(INDEX(Drivers!$C$11:$N$13,MATCH($C18,Drivers!$B$11:$B$13,0),MATCH(min(((year(K$1)-YEAR($D18))*12+MONTH(K$1)-MONTH($D18)),12),Drivers!$C$10:$N$10))))</f>
        <v/>
      </c>
      <c r="L18" s="67" t="str">
        <f t="array" ref="L18">if(AND($E18&lt;L$1,$E18&lt;&gt;0),0,iferror(INDEX(Drivers!$C$11:$N$13,MATCH($C18,Drivers!$B$11:$B$13,0),MATCH(min(((year(L$1)-YEAR($D18))*12+MONTH(L$1)-MONTH($D18)),12),Drivers!$C$10:$N$10))))</f>
        <v/>
      </c>
      <c r="M18" s="67" t="str">
        <f t="array" ref="M18">if(AND($E18&lt;M$1,$E18&lt;&gt;0),0,iferror(INDEX(Drivers!$C$11:$N$13,MATCH($C18,Drivers!$B$11:$B$13,0),MATCH(min(((year(M$1)-YEAR($D18))*12+MONTH(M$1)-MONTH($D18)),12),Drivers!$C$10:$N$10))))</f>
        <v/>
      </c>
      <c r="N18" s="67" t="str">
        <f t="array" ref="N18">if(AND($E18&lt;N$1,$E18&lt;&gt;0),0,iferror(INDEX(Drivers!$C$11:$N$13,MATCH($C18,Drivers!$B$11:$B$13,0),MATCH(min(((year(N$1)-YEAR($D18))*12+MONTH(N$1)-MONTH($D18)),12),Drivers!$C$10:$N$10))))</f>
        <v/>
      </c>
      <c r="O18" s="67" t="str">
        <f t="array" ref="O18">if(AND($E18&lt;O$1,$E18&lt;&gt;0),0,iferror(INDEX(Drivers!$C$11:$N$13,MATCH($C18,Drivers!$B$11:$B$13,0),MATCH(min(((year(O$1)-YEAR($D18))*12+MONTH(O$1)-MONTH($D18)),12),Drivers!$C$10:$N$10))))</f>
        <v/>
      </c>
      <c r="P18" s="67" t="str">
        <f t="array" ref="P18">if(AND($E18&lt;P$1,$E18&lt;&gt;0),0,iferror(INDEX(Drivers!$C$11:$N$13,MATCH($C18,Drivers!$B$11:$B$13,0),MATCH(min(((year(P$1)-YEAR($D18))*12+MONTH(P$1)-MONTH($D18)),12),Drivers!$C$10:$N$10))))</f>
        <v/>
      </c>
      <c r="Q18" s="67">
        <f t="array" ref="Q18">if(AND($E18&lt;Q$1,$E18&lt;&gt;0),0,iferror(INDEX(Drivers!$C$11:$N$13,MATCH($C18,Drivers!$B$11:$B$13,0),MATCH(min(((year(Q$1)-YEAR($D18))*12+MONTH(Q$1)-MONTH($D18)),12),Drivers!$C$10:$N$10))))</f>
        <v>0</v>
      </c>
      <c r="R18" s="67">
        <f t="array" ref="R18">if(AND($E18&lt;R$1,$E18&lt;&gt;0),0,iferror(INDEX(Drivers!$C$11:$N$13,MATCH($C18,Drivers!$B$11:$B$13,0),MATCH(min(((year(R$1)-YEAR($D18))*12+MONTH(R$1)-MONTH($D18)),12),Drivers!$C$10:$N$10))))</f>
        <v>0</v>
      </c>
      <c r="S18" s="67">
        <f t="array" ref="S18">if(AND($E18&lt;S$1,$E18&lt;&gt;0),0,iferror(INDEX(Drivers!$C$11:$N$13,MATCH($C18,Drivers!$B$11:$B$13,0),MATCH(min(((year(S$1)-YEAR($D18))*12+MONTH(S$1)-MONTH($D18)),12),Drivers!$C$10:$N$10))))</f>
        <v>0.5</v>
      </c>
      <c r="T18" s="67">
        <f t="array" ref="T18">if(AND($E18&lt;T$1,$E18&lt;&gt;0),0,iferror(INDEX(Drivers!$C$11:$N$13,MATCH($C18,Drivers!$B$11:$B$13,0),MATCH(min(((year(T$1)-YEAR($D18))*12+MONTH(T$1)-MONTH($D18)),12),Drivers!$C$10:$N$10))))</f>
        <v>0.75</v>
      </c>
      <c r="U18" s="67">
        <f t="array" ref="U18">if(AND($E18&lt;U$1,$E18&lt;&gt;0),0,iferror(INDEX(Drivers!$C$11:$N$13,MATCH($C18,Drivers!$B$11:$B$13,0),MATCH(min(((year(U$1)-YEAR($D18))*12+MONTH(U$1)-MONTH($D18)),12),Drivers!$C$10:$N$10))))</f>
        <v>1</v>
      </c>
      <c r="V18" s="67">
        <f t="array" ref="V18">if(AND($E18&lt;V$1,$E18&lt;&gt;0),0,iferror(INDEX(Drivers!$C$11:$N$13,MATCH($C18,Drivers!$B$11:$B$13,0),MATCH(min(((year(V$1)-YEAR($D18))*12+MONTH(V$1)-MONTH($D18)),12),Drivers!$C$10:$N$10))))</f>
        <v>1</v>
      </c>
      <c r="W18" s="67">
        <f t="array" ref="W18">if(AND($E18&lt;W$1,$E18&lt;&gt;0),0,iferror(INDEX(Drivers!$C$11:$N$13,MATCH($C18,Drivers!$B$11:$B$13,0),MATCH(min(((year(W$1)-YEAR($D18))*12+MONTH(W$1)-MONTH($D18)),12),Drivers!$C$10:$N$10))))</f>
        <v>1</v>
      </c>
      <c r="X18" s="67">
        <f t="array" ref="X18">if(AND($E18&lt;X$1,$E18&lt;&gt;0),0,iferror(INDEX(Drivers!$C$11:$N$13,MATCH($C18,Drivers!$B$11:$B$13,0),MATCH(min(((year(X$1)-YEAR($D18))*12+MONTH(X$1)-MONTH($D18)),12),Drivers!$C$10:$N$10))))</f>
        <v>1</v>
      </c>
      <c r="Y18" s="67">
        <f t="array" ref="Y18">if(AND($E18&lt;Y$1,$E18&lt;&gt;0),0,iferror(INDEX(Drivers!$C$11:$N$13,MATCH($C18,Drivers!$B$11:$B$13,0),MATCH(min(((year(Y$1)-YEAR($D18))*12+MONTH(Y$1)-MONTH($D18)),12),Drivers!$C$10:$N$10))))</f>
        <v>1</v>
      </c>
      <c r="Z18" s="67">
        <f t="array" ref="Z18">if(AND($E18&lt;Z$1,$E18&lt;&gt;0),0,iferror(INDEX(Drivers!$C$11:$N$13,MATCH($C18,Drivers!$B$11:$B$13,0),MATCH(min(((year(Z$1)-YEAR($D18))*12+MONTH(Z$1)-MONTH($D18)),12),Drivers!$C$10:$N$10))))</f>
        <v>1</v>
      </c>
      <c r="AA18" s="67">
        <f t="array" ref="AA18">if(AND($E18&lt;AA$1,$E18&lt;&gt;0),0,iferror(INDEX(Drivers!$C$11:$N$13,MATCH($C18,Drivers!$B$11:$B$13,0),MATCH(min(((year(AA$1)-YEAR($D18))*12+MONTH(AA$1)-MONTH($D18)),12),Drivers!$C$10:$N$10))))</f>
        <v>1</v>
      </c>
      <c r="AB18" s="67">
        <f t="array" ref="AB18">if(AND($E18&lt;AB$1,$E18&lt;&gt;0),0,iferror(INDEX(Drivers!$C$11:$N$13,MATCH($C18,Drivers!$B$11:$B$13,0),MATCH(min(((year(AB$1)-YEAR($D18))*12+MONTH(AB$1)-MONTH($D18)),12),Drivers!$C$10:$N$10))))</f>
        <v>1</v>
      </c>
      <c r="AC18" s="67">
        <f t="array" ref="AC18">if(AND($E18&lt;AC$1,$E18&lt;&gt;0),0,iferror(INDEX(Drivers!$C$11:$N$13,MATCH($C18,Drivers!$B$11:$B$13,0),MATCH(min(((year(AC$1)-YEAR($D18))*12+MONTH(AC$1)-MONTH($D18)),12),Drivers!$C$10:$N$10))))</f>
        <v>1</v>
      </c>
      <c r="AD18" s="67">
        <f t="array" ref="AD18">if(AND($E18&lt;AD$1,$E18&lt;&gt;0),0,iferror(INDEX(Drivers!$C$11:$N$13,MATCH($C18,Drivers!$B$11:$B$13,0),MATCH(min(((year(AD$1)-YEAR($D18))*12+MONTH(AD$1)-MONTH($D18)),12),Drivers!$C$10:$N$10))))</f>
        <v>1</v>
      </c>
    </row>
    <row r="19" ht="15.75" customHeight="1">
      <c r="A19" s="46"/>
      <c r="B19" s="53"/>
      <c r="C19" s="54" t="s">
        <v>39</v>
      </c>
      <c r="D19" s="65">
        <v>45352.0</v>
      </c>
      <c r="E19" s="66" t="s">
        <v>40</v>
      </c>
      <c r="F19" s="46"/>
      <c r="G19" s="67" t="str">
        <f t="array" ref="G19">if(AND($E19&lt;G$1,$E19&lt;&gt;0),0,iferror(INDEX(Drivers!$C$11:$N$13,MATCH($C19,Drivers!$B$11:$B$13,0),MATCH(min(((year(G$1)-YEAR($D19))*12+MONTH(G$1)-MONTH($D19)),12),Drivers!$C$10:$N$10))))</f>
        <v/>
      </c>
      <c r="H19" s="67" t="str">
        <f t="array" ref="H19">if(AND($E19&lt;H$1,$E19&lt;&gt;0),0,iferror(INDEX(Drivers!$C$11:$N$13,MATCH($C19,Drivers!$B$11:$B$13,0),MATCH(min(((year(H$1)-YEAR($D19))*12+MONTH(H$1)-MONTH($D19)),12),Drivers!$C$10:$N$10))))</f>
        <v/>
      </c>
      <c r="I19" s="67">
        <f t="array" ref="I19">if(AND($E19&lt;I$1,$E19&lt;&gt;0),0,iferror(INDEX(Drivers!$C$11:$N$13,MATCH($C19,Drivers!$B$11:$B$13,0),MATCH(min(((year(I$1)-YEAR($D19))*12+MONTH(I$1)-MONTH($D19)),12),Drivers!$C$10:$N$10))))</f>
        <v>0</v>
      </c>
      <c r="J19" s="67">
        <f t="array" ref="J19">if(AND($E19&lt;J$1,$E19&lt;&gt;0),0,iferror(INDEX(Drivers!$C$11:$N$13,MATCH($C19,Drivers!$B$11:$B$13,0),MATCH(min(((year(J$1)-YEAR($D19))*12+MONTH(J$1)-MONTH($D19)),12),Drivers!$C$10:$N$10))))</f>
        <v>0</v>
      </c>
      <c r="K19" s="67">
        <f t="array" ref="K19">if(AND($E19&lt;K$1,$E19&lt;&gt;0),0,iferror(INDEX(Drivers!$C$11:$N$13,MATCH($C19,Drivers!$B$11:$B$13,0),MATCH(min(((year(K$1)-YEAR($D19))*12+MONTH(K$1)-MONTH($D19)),12),Drivers!$C$10:$N$10))))</f>
        <v>0</v>
      </c>
      <c r="L19" s="67">
        <f t="array" ref="L19">if(AND($E19&lt;L$1,$E19&lt;&gt;0),0,iferror(INDEX(Drivers!$C$11:$N$13,MATCH($C19,Drivers!$B$11:$B$13,0),MATCH(min(((year(L$1)-YEAR($D19))*12+MONTH(L$1)-MONTH($D19)),12),Drivers!$C$10:$N$10))))</f>
        <v>0.25</v>
      </c>
      <c r="M19" s="67">
        <f t="array" ref="M19">if(AND($E19&lt;M$1,$E19&lt;&gt;0),0,iferror(INDEX(Drivers!$C$11:$N$13,MATCH($C19,Drivers!$B$11:$B$13,0),MATCH(min(((year(M$1)-YEAR($D19))*12+MONTH(M$1)-MONTH($D19)),12),Drivers!$C$10:$N$10))))</f>
        <v>0.5</v>
      </c>
      <c r="N19" s="67">
        <f t="array" ref="N19">if(AND($E19&lt;N$1,$E19&lt;&gt;0),0,iferror(INDEX(Drivers!$C$11:$N$13,MATCH($C19,Drivers!$B$11:$B$13,0),MATCH(min(((year(N$1)-YEAR($D19))*12+MONTH(N$1)-MONTH($D19)),12),Drivers!$C$10:$N$10))))</f>
        <v>0.5</v>
      </c>
      <c r="O19" s="67">
        <f t="array" ref="O19">if(AND($E19&lt;O$1,$E19&lt;&gt;0),0,iferror(INDEX(Drivers!$C$11:$N$13,MATCH($C19,Drivers!$B$11:$B$13,0),MATCH(min(((year(O$1)-YEAR($D19))*12+MONTH(O$1)-MONTH($D19)),12),Drivers!$C$10:$N$10))))</f>
        <v>0.75</v>
      </c>
      <c r="P19" s="67">
        <f t="array" ref="P19">if(AND($E19&lt;P$1,$E19&lt;&gt;0),0,iferror(INDEX(Drivers!$C$11:$N$13,MATCH($C19,Drivers!$B$11:$B$13,0),MATCH(min(((year(P$1)-YEAR($D19))*12+MONTH(P$1)-MONTH($D19)),12),Drivers!$C$10:$N$10))))</f>
        <v>0.75</v>
      </c>
      <c r="Q19" s="67">
        <f t="array" ref="Q19">if(AND($E19&lt;Q$1,$E19&lt;&gt;0),0,iferror(INDEX(Drivers!$C$11:$N$13,MATCH($C19,Drivers!$B$11:$B$13,0),MATCH(min(((year(Q$1)-YEAR($D19))*12+MONTH(Q$1)-MONTH($D19)),12),Drivers!$C$10:$N$10))))</f>
        <v>1</v>
      </c>
      <c r="R19" s="67">
        <f t="array" ref="R19">if(AND($E19&lt;R$1,$E19&lt;&gt;0),0,iferror(INDEX(Drivers!$C$11:$N$13,MATCH($C19,Drivers!$B$11:$B$13,0),MATCH(min(((year(R$1)-YEAR($D19))*12+MONTH(R$1)-MONTH($D19)),12),Drivers!$C$10:$N$10))))</f>
        <v>1</v>
      </c>
      <c r="S19" s="67">
        <f t="array" ref="S19">if(AND($E19&lt;S$1,$E19&lt;&gt;0),0,iferror(INDEX(Drivers!$C$11:$N$13,MATCH($C19,Drivers!$B$11:$B$13,0),MATCH(min(((year(S$1)-YEAR($D19))*12+MONTH(S$1)-MONTH($D19)),12),Drivers!$C$10:$N$10))))</f>
        <v>1</v>
      </c>
      <c r="T19" s="67">
        <f t="array" ref="T19">if(AND($E19&lt;T$1,$E19&lt;&gt;0),0,iferror(INDEX(Drivers!$C$11:$N$13,MATCH($C19,Drivers!$B$11:$B$13,0),MATCH(min(((year(T$1)-YEAR($D19))*12+MONTH(T$1)-MONTH($D19)),12),Drivers!$C$10:$N$10))))</f>
        <v>1</v>
      </c>
      <c r="U19" s="67">
        <f t="array" ref="U19">if(AND($E19&lt;U$1,$E19&lt;&gt;0),0,iferror(INDEX(Drivers!$C$11:$N$13,MATCH($C19,Drivers!$B$11:$B$13,0),MATCH(min(((year(U$1)-YEAR($D19))*12+MONTH(U$1)-MONTH($D19)),12),Drivers!$C$10:$N$10))))</f>
        <v>1</v>
      </c>
      <c r="V19" s="67">
        <f t="array" ref="V19">if(AND($E19&lt;V$1,$E19&lt;&gt;0),0,iferror(INDEX(Drivers!$C$11:$N$13,MATCH($C19,Drivers!$B$11:$B$13,0),MATCH(min(((year(V$1)-YEAR($D19))*12+MONTH(V$1)-MONTH($D19)),12),Drivers!$C$10:$N$10))))</f>
        <v>1</v>
      </c>
      <c r="W19" s="67">
        <f t="array" ref="W19">if(AND($E19&lt;W$1,$E19&lt;&gt;0),0,iferror(INDEX(Drivers!$C$11:$N$13,MATCH($C19,Drivers!$B$11:$B$13,0),MATCH(min(((year(W$1)-YEAR($D19))*12+MONTH(W$1)-MONTH($D19)),12),Drivers!$C$10:$N$10))))</f>
        <v>1</v>
      </c>
      <c r="X19" s="67">
        <f t="array" ref="X19">if(AND($E19&lt;X$1,$E19&lt;&gt;0),0,iferror(INDEX(Drivers!$C$11:$N$13,MATCH($C19,Drivers!$B$11:$B$13,0),MATCH(min(((year(X$1)-YEAR($D19))*12+MONTH(X$1)-MONTH($D19)),12),Drivers!$C$10:$N$10))))</f>
        <v>1</v>
      </c>
      <c r="Y19" s="67">
        <f t="array" ref="Y19">if(AND($E19&lt;Y$1,$E19&lt;&gt;0),0,iferror(INDEX(Drivers!$C$11:$N$13,MATCH($C19,Drivers!$B$11:$B$13,0),MATCH(min(((year(Y$1)-YEAR($D19))*12+MONTH(Y$1)-MONTH($D19)),12),Drivers!$C$10:$N$10))))</f>
        <v>1</v>
      </c>
      <c r="Z19" s="67">
        <f t="array" ref="Z19">if(AND($E19&lt;Z$1,$E19&lt;&gt;0),0,iferror(INDEX(Drivers!$C$11:$N$13,MATCH($C19,Drivers!$B$11:$B$13,0),MATCH(min(((year(Z$1)-YEAR($D19))*12+MONTH(Z$1)-MONTH($D19)),12),Drivers!$C$10:$N$10))))</f>
        <v>1</v>
      </c>
      <c r="AA19" s="67">
        <f t="array" ref="AA19">if(AND($E19&lt;AA$1,$E19&lt;&gt;0),0,iferror(INDEX(Drivers!$C$11:$N$13,MATCH($C19,Drivers!$B$11:$B$13,0),MATCH(min(((year(AA$1)-YEAR($D19))*12+MONTH(AA$1)-MONTH($D19)),12),Drivers!$C$10:$N$10))))</f>
        <v>1</v>
      </c>
      <c r="AB19" s="67">
        <f t="array" ref="AB19">if(AND($E19&lt;AB$1,$E19&lt;&gt;0),0,iferror(INDEX(Drivers!$C$11:$N$13,MATCH($C19,Drivers!$B$11:$B$13,0),MATCH(min(((year(AB$1)-YEAR($D19))*12+MONTH(AB$1)-MONTH($D19)),12),Drivers!$C$10:$N$10))))</f>
        <v>1</v>
      </c>
      <c r="AC19" s="67">
        <f t="array" ref="AC19">if(AND($E19&lt;AC$1,$E19&lt;&gt;0),0,iferror(INDEX(Drivers!$C$11:$N$13,MATCH($C19,Drivers!$B$11:$B$13,0),MATCH(min(((year(AC$1)-YEAR($D19))*12+MONTH(AC$1)-MONTH($D19)),12),Drivers!$C$10:$N$10))))</f>
        <v>1</v>
      </c>
      <c r="AD19" s="67">
        <f t="array" ref="AD19">if(AND($E19&lt;AD$1,$E19&lt;&gt;0),0,iferror(INDEX(Drivers!$C$11:$N$13,MATCH($C19,Drivers!$B$11:$B$13,0),MATCH(min(((year(AD$1)-YEAR($D19))*12+MONTH(AD$1)-MONTH($D19)),12),Drivers!$C$10:$N$10))))</f>
        <v>1</v>
      </c>
    </row>
    <row r="20" ht="15.75" customHeight="1">
      <c r="A20" s="46"/>
      <c r="B20" s="53"/>
      <c r="C20" s="54" t="s">
        <v>39</v>
      </c>
      <c r="D20" s="65">
        <v>45383.0</v>
      </c>
      <c r="E20" s="66" t="s">
        <v>40</v>
      </c>
      <c r="F20" s="46"/>
      <c r="G20" s="67" t="str">
        <f t="array" ref="G20">if(AND($E20&lt;G$1,$E20&lt;&gt;0),0,iferror(INDEX(Drivers!$C$11:$N$13,MATCH($C20,Drivers!$B$11:$B$13,0),MATCH(min(((year(G$1)-YEAR($D20))*12+MONTH(G$1)-MONTH($D20)),12),Drivers!$C$10:$N$10))))</f>
        <v/>
      </c>
      <c r="H20" s="67" t="str">
        <f t="array" ref="H20">if(AND($E20&lt;H$1,$E20&lt;&gt;0),0,iferror(INDEX(Drivers!$C$11:$N$13,MATCH($C20,Drivers!$B$11:$B$13,0),MATCH(min(((year(H$1)-YEAR($D20))*12+MONTH(H$1)-MONTH($D20)),12),Drivers!$C$10:$N$10))))</f>
        <v/>
      </c>
      <c r="I20" s="67" t="str">
        <f t="array" ref="I20">if(AND($E20&lt;I$1,$E20&lt;&gt;0),0,iferror(INDEX(Drivers!$C$11:$N$13,MATCH($C20,Drivers!$B$11:$B$13,0),MATCH(min(((year(I$1)-YEAR($D20))*12+MONTH(I$1)-MONTH($D20)),12),Drivers!$C$10:$N$10))))</f>
        <v/>
      </c>
      <c r="J20" s="67">
        <f t="array" ref="J20">if(AND($E20&lt;J$1,$E20&lt;&gt;0),0,iferror(INDEX(Drivers!$C$11:$N$13,MATCH($C20,Drivers!$B$11:$B$13,0),MATCH(min(((year(J$1)-YEAR($D20))*12+MONTH(J$1)-MONTH($D20)),12),Drivers!$C$10:$N$10))))</f>
        <v>0</v>
      </c>
      <c r="K20" s="67">
        <f t="array" ref="K20">if(AND($E20&lt;K$1,$E20&lt;&gt;0),0,iferror(INDEX(Drivers!$C$11:$N$13,MATCH($C20,Drivers!$B$11:$B$13,0),MATCH(min(((year(K$1)-YEAR($D20))*12+MONTH(K$1)-MONTH($D20)),12),Drivers!$C$10:$N$10))))</f>
        <v>0</v>
      </c>
      <c r="L20" s="67">
        <f t="array" ref="L20">if(AND($E20&lt;L$1,$E20&lt;&gt;0),0,iferror(INDEX(Drivers!$C$11:$N$13,MATCH($C20,Drivers!$B$11:$B$13,0),MATCH(min(((year(L$1)-YEAR($D20))*12+MONTH(L$1)-MONTH($D20)),12),Drivers!$C$10:$N$10))))</f>
        <v>0</v>
      </c>
      <c r="M20" s="67">
        <f t="array" ref="M20">if(AND($E20&lt;M$1,$E20&lt;&gt;0),0,iferror(INDEX(Drivers!$C$11:$N$13,MATCH($C20,Drivers!$B$11:$B$13,0),MATCH(min(((year(M$1)-YEAR($D20))*12+MONTH(M$1)-MONTH($D20)),12),Drivers!$C$10:$N$10))))</f>
        <v>0.25</v>
      </c>
      <c r="N20" s="67">
        <f t="array" ref="N20">if(AND($E20&lt;N$1,$E20&lt;&gt;0),0,iferror(INDEX(Drivers!$C$11:$N$13,MATCH($C20,Drivers!$B$11:$B$13,0),MATCH(min(((year(N$1)-YEAR($D20))*12+MONTH(N$1)-MONTH($D20)),12),Drivers!$C$10:$N$10))))</f>
        <v>0.5</v>
      </c>
      <c r="O20" s="67">
        <f t="array" ref="O20">if(AND($E20&lt;O$1,$E20&lt;&gt;0),0,iferror(INDEX(Drivers!$C$11:$N$13,MATCH($C20,Drivers!$B$11:$B$13,0),MATCH(min(((year(O$1)-YEAR($D20))*12+MONTH(O$1)-MONTH($D20)),12),Drivers!$C$10:$N$10))))</f>
        <v>0.5</v>
      </c>
      <c r="P20" s="67">
        <f t="array" ref="P20">if(AND($E20&lt;P$1,$E20&lt;&gt;0),0,iferror(INDEX(Drivers!$C$11:$N$13,MATCH($C20,Drivers!$B$11:$B$13,0),MATCH(min(((year(P$1)-YEAR($D20))*12+MONTH(P$1)-MONTH($D20)),12),Drivers!$C$10:$N$10))))</f>
        <v>0.75</v>
      </c>
      <c r="Q20" s="67">
        <f t="array" ref="Q20">if(AND($E20&lt;Q$1,$E20&lt;&gt;0),0,iferror(INDEX(Drivers!$C$11:$N$13,MATCH($C20,Drivers!$B$11:$B$13,0),MATCH(min(((year(Q$1)-YEAR($D20))*12+MONTH(Q$1)-MONTH($D20)),12),Drivers!$C$10:$N$10))))</f>
        <v>0.75</v>
      </c>
      <c r="R20" s="67">
        <f t="array" ref="R20">if(AND($E20&lt;R$1,$E20&lt;&gt;0),0,iferror(INDEX(Drivers!$C$11:$N$13,MATCH($C20,Drivers!$B$11:$B$13,0),MATCH(min(((year(R$1)-YEAR($D20))*12+MONTH(R$1)-MONTH($D20)),12),Drivers!$C$10:$N$10))))</f>
        <v>1</v>
      </c>
      <c r="S20" s="67">
        <f t="array" ref="S20">if(AND($E20&lt;S$1,$E20&lt;&gt;0),0,iferror(INDEX(Drivers!$C$11:$N$13,MATCH($C20,Drivers!$B$11:$B$13,0),MATCH(min(((year(S$1)-YEAR($D20))*12+MONTH(S$1)-MONTH($D20)),12),Drivers!$C$10:$N$10))))</f>
        <v>1</v>
      </c>
      <c r="T20" s="67">
        <f t="array" ref="T20">if(AND($E20&lt;T$1,$E20&lt;&gt;0),0,iferror(INDEX(Drivers!$C$11:$N$13,MATCH($C20,Drivers!$B$11:$B$13,0),MATCH(min(((year(T$1)-YEAR($D20))*12+MONTH(T$1)-MONTH($D20)),12),Drivers!$C$10:$N$10))))</f>
        <v>1</v>
      </c>
      <c r="U20" s="67">
        <f t="array" ref="U20">if(AND($E20&lt;U$1,$E20&lt;&gt;0),0,iferror(INDEX(Drivers!$C$11:$N$13,MATCH($C20,Drivers!$B$11:$B$13,0),MATCH(min(((year(U$1)-YEAR($D20))*12+MONTH(U$1)-MONTH($D20)),12),Drivers!$C$10:$N$10))))</f>
        <v>1</v>
      </c>
      <c r="V20" s="67">
        <f t="array" ref="V20">if(AND($E20&lt;V$1,$E20&lt;&gt;0),0,iferror(INDEX(Drivers!$C$11:$N$13,MATCH($C20,Drivers!$B$11:$B$13,0),MATCH(min(((year(V$1)-YEAR($D20))*12+MONTH(V$1)-MONTH($D20)),12),Drivers!$C$10:$N$10))))</f>
        <v>1</v>
      </c>
      <c r="W20" s="67">
        <f t="array" ref="W20">if(AND($E20&lt;W$1,$E20&lt;&gt;0),0,iferror(INDEX(Drivers!$C$11:$N$13,MATCH($C20,Drivers!$B$11:$B$13,0),MATCH(min(((year(W$1)-YEAR($D20))*12+MONTH(W$1)-MONTH($D20)),12),Drivers!$C$10:$N$10))))</f>
        <v>1</v>
      </c>
      <c r="X20" s="67">
        <f t="array" ref="X20">if(AND($E20&lt;X$1,$E20&lt;&gt;0),0,iferror(INDEX(Drivers!$C$11:$N$13,MATCH($C20,Drivers!$B$11:$B$13,0),MATCH(min(((year(X$1)-YEAR($D20))*12+MONTH(X$1)-MONTH($D20)),12),Drivers!$C$10:$N$10))))</f>
        <v>1</v>
      </c>
      <c r="Y20" s="67">
        <f t="array" ref="Y20">if(AND($E20&lt;Y$1,$E20&lt;&gt;0),0,iferror(INDEX(Drivers!$C$11:$N$13,MATCH($C20,Drivers!$B$11:$B$13,0),MATCH(min(((year(Y$1)-YEAR($D20))*12+MONTH(Y$1)-MONTH($D20)),12),Drivers!$C$10:$N$10))))</f>
        <v>1</v>
      </c>
      <c r="Z20" s="67">
        <f t="array" ref="Z20">if(AND($E20&lt;Z$1,$E20&lt;&gt;0),0,iferror(INDEX(Drivers!$C$11:$N$13,MATCH($C20,Drivers!$B$11:$B$13,0),MATCH(min(((year(Z$1)-YEAR($D20))*12+MONTH(Z$1)-MONTH($D20)),12),Drivers!$C$10:$N$10))))</f>
        <v>1</v>
      </c>
      <c r="AA20" s="67">
        <f t="array" ref="AA20">if(AND($E20&lt;AA$1,$E20&lt;&gt;0),0,iferror(INDEX(Drivers!$C$11:$N$13,MATCH($C20,Drivers!$B$11:$B$13,0),MATCH(min(((year(AA$1)-YEAR($D20))*12+MONTH(AA$1)-MONTH($D20)),12),Drivers!$C$10:$N$10))))</f>
        <v>1</v>
      </c>
      <c r="AB20" s="67">
        <f t="array" ref="AB20">if(AND($E20&lt;AB$1,$E20&lt;&gt;0),0,iferror(INDEX(Drivers!$C$11:$N$13,MATCH($C20,Drivers!$B$11:$B$13,0),MATCH(min(((year(AB$1)-YEAR($D20))*12+MONTH(AB$1)-MONTH($D20)),12),Drivers!$C$10:$N$10))))</f>
        <v>1</v>
      </c>
      <c r="AC20" s="67">
        <f t="array" ref="AC20">if(AND($E20&lt;AC$1,$E20&lt;&gt;0),0,iferror(INDEX(Drivers!$C$11:$N$13,MATCH($C20,Drivers!$B$11:$B$13,0),MATCH(min(((year(AC$1)-YEAR($D20))*12+MONTH(AC$1)-MONTH($D20)),12),Drivers!$C$10:$N$10))))</f>
        <v>1</v>
      </c>
      <c r="AD20" s="67">
        <f t="array" ref="AD20">if(AND($E20&lt;AD$1,$E20&lt;&gt;0),0,iferror(INDEX(Drivers!$C$11:$N$13,MATCH($C20,Drivers!$B$11:$B$13,0),MATCH(min(((year(AD$1)-YEAR($D20))*12+MONTH(AD$1)-MONTH($D20)),12),Drivers!$C$10:$N$10))))</f>
        <v>1</v>
      </c>
    </row>
    <row r="21" ht="15.75" customHeight="1">
      <c r="A21" s="46"/>
      <c r="B21" s="53"/>
      <c r="C21" s="54" t="s">
        <v>39</v>
      </c>
      <c r="D21" s="65">
        <v>45413.0</v>
      </c>
      <c r="E21" s="66" t="s">
        <v>40</v>
      </c>
      <c r="F21" s="46"/>
      <c r="G21" s="67" t="str">
        <f t="array" ref="G21">if(AND($E21&lt;G$1,$E21&lt;&gt;0),0,iferror(INDEX(Drivers!$C$11:$N$13,MATCH($C21,Drivers!$B$11:$B$13,0),MATCH(min(((year(G$1)-YEAR($D21))*12+MONTH(G$1)-MONTH($D21)),12),Drivers!$C$10:$N$10))))</f>
        <v/>
      </c>
      <c r="H21" s="67" t="str">
        <f t="array" ref="H21">if(AND($E21&lt;H$1,$E21&lt;&gt;0),0,iferror(INDEX(Drivers!$C$11:$N$13,MATCH($C21,Drivers!$B$11:$B$13,0),MATCH(min(((year(H$1)-YEAR($D21))*12+MONTH(H$1)-MONTH($D21)),12),Drivers!$C$10:$N$10))))</f>
        <v/>
      </c>
      <c r="I21" s="67" t="str">
        <f t="array" ref="I21">if(AND($E21&lt;I$1,$E21&lt;&gt;0),0,iferror(INDEX(Drivers!$C$11:$N$13,MATCH($C21,Drivers!$B$11:$B$13,0),MATCH(min(((year(I$1)-YEAR($D21))*12+MONTH(I$1)-MONTH($D21)),12),Drivers!$C$10:$N$10))))</f>
        <v/>
      </c>
      <c r="J21" s="67" t="str">
        <f t="array" ref="J21">if(AND($E21&lt;J$1,$E21&lt;&gt;0),0,iferror(INDEX(Drivers!$C$11:$N$13,MATCH($C21,Drivers!$B$11:$B$13,0),MATCH(min(((year(J$1)-YEAR($D21))*12+MONTH(J$1)-MONTH($D21)),12),Drivers!$C$10:$N$10))))</f>
        <v/>
      </c>
      <c r="K21" s="67">
        <f t="array" ref="K21">if(AND($E21&lt;K$1,$E21&lt;&gt;0),0,iferror(INDEX(Drivers!$C$11:$N$13,MATCH($C21,Drivers!$B$11:$B$13,0),MATCH(min(((year(K$1)-YEAR($D21))*12+MONTH(K$1)-MONTH($D21)),12),Drivers!$C$10:$N$10))))</f>
        <v>0</v>
      </c>
      <c r="L21" s="67">
        <f t="array" ref="L21">if(AND($E21&lt;L$1,$E21&lt;&gt;0),0,iferror(INDEX(Drivers!$C$11:$N$13,MATCH($C21,Drivers!$B$11:$B$13,0),MATCH(min(((year(L$1)-YEAR($D21))*12+MONTH(L$1)-MONTH($D21)),12),Drivers!$C$10:$N$10))))</f>
        <v>0</v>
      </c>
      <c r="M21" s="67">
        <f t="array" ref="M21">if(AND($E21&lt;M$1,$E21&lt;&gt;0),0,iferror(INDEX(Drivers!$C$11:$N$13,MATCH($C21,Drivers!$B$11:$B$13,0),MATCH(min(((year(M$1)-YEAR($D21))*12+MONTH(M$1)-MONTH($D21)),12),Drivers!$C$10:$N$10))))</f>
        <v>0</v>
      </c>
      <c r="N21" s="67">
        <f t="array" ref="N21">if(AND($E21&lt;N$1,$E21&lt;&gt;0),0,iferror(INDEX(Drivers!$C$11:$N$13,MATCH($C21,Drivers!$B$11:$B$13,0),MATCH(min(((year(N$1)-YEAR($D21))*12+MONTH(N$1)-MONTH($D21)),12),Drivers!$C$10:$N$10))))</f>
        <v>0.25</v>
      </c>
      <c r="O21" s="67">
        <f t="array" ref="O21">if(AND($E21&lt;O$1,$E21&lt;&gt;0),0,iferror(INDEX(Drivers!$C$11:$N$13,MATCH($C21,Drivers!$B$11:$B$13,0),MATCH(min(((year(O$1)-YEAR($D21))*12+MONTH(O$1)-MONTH($D21)),12),Drivers!$C$10:$N$10))))</f>
        <v>0.5</v>
      </c>
      <c r="P21" s="67">
        <f t="array" ref="P21">if(AND($E21&lt;P$1,$E21&lt;&gt;0),0,iferror(INDEX(Drivers!$C$11:$N$13,MATCH($C21,Drivers!$B$11:$B$13,0),MATCH(min(((year(P$1)-YEAR($D21))*12+MONTH(P$1)-MONTH($D21)),12),Drivers!$C$10:$N$10))))</f>
        <v>0.5</v>
      </c>
      <c r="Q21" s="67">
        <f t="array" ref="Q21">if(AND($E21&lt;Q$1,$E21&lt;&gt;0),0,iferror(INDEX(Drivers!$C$11:$N$13,MATCH($C21,Drivers!$B$11:$B$13,0),MATCH(min(((year(Q$1)-YEAR($D21))*12+MONTH(Q$1)-MONTH($D21)),12),Drivers!$C$10:$N$10))))</f>
        <v>0.75</v>
      </c>
      <c r="R21" s="67">
        <f t="array" ref="R21">if(AND($E21&lt;R$1,$E21&lt;&gt;0),0,iferror(INDEX(Drivers!$C$11:$N$13,MATCH($C21,Drivers!$B$11:$B$13,0),MATCH(min(((year(R$1)-YEAR($D21))*12+MONTH(R$1)-MONTH($D21)),12),Drivers!$C$10:$N$10))))</f>
        <v>0.75</v>
      </c>
      <c r="S21" s="67">
        <f t="array" ref="S21">if(AND($E21&lt;S$1,$E21&lt;&gt;0),0,iferror(INDEX(Drivers!$C$11:$N$13,MATCH($C21,Drivers!$B$11:$B$13,0),MATCH(min(((year(S$1)-YEAR($D21))*12+MONTH(S$1)-MONTH($D21)),12),Drivers!$C$10:$N$10))))</f>
        <v>1</v>
      </c>
      <c r="T21" s="67">
        <f t="array" ref="T21">if(AND($E21&lt;T$1,$E21&lt;&gt;0),0,iferror(INDEX(Drivers!$C$11:$N$13,MATCH($C21,Drivers!$B$11:$B$13,0),MATCH(min(((year(T$1)-YEAR($D21))*12+MONTH(T$1)-MONTH($D21)),12),Drivers!$C$10:$N$10))))</f>
        <v>1</v>
      </c>
      <c r="U21" s="67">
        <f t="array" ref="U21">if(AND($E21&lt;U$1,$E21&lt;&gt;0),0,iferror(INDEX(Drivers!$C$11:$N$13,MATCH($C21,Drivers!$B$11:$B$13,0),MATCH(min(((year(U$1)-YEAR($D21))*12+MONTH(U$1)-MONTH($D21)),12),Drivers!$C$10:$N$10))))</f>
        <v>1</v>
      </c>
      <c r="V21" s="67">
        <f t="array" ref="V21">if(AND($E21&lt;V$1,$E21&lt;&gt;0),0,iferror(INDEX(Drivers!$C$11:$N$13,MATCH($C21,Drivers!$B$11:$B$13,0),MATCH(min(((year(V$1)-YEAR($D21))*12+MONTH(V$1)-MONTH($D21)),12),Drivers!$C$10:$N$10))))</f>
        <v>1</v>
      </c>
      <c r="W21" s="67">
        <f t="array" ref="W21">if(AND($E21&lt;W$1,$E21&lt;&gt;0),0,iferror(INDEX(Drivers!$C$11:$N$13,MATCH($C21,Drivers!$B$11:$B$13,0),MATCH(min(((year(W$1)-YEAR($D21))*12+MONTH(W$1)-MONTH($D21)),12),Drivers!$C$10:$N$10))))</f>
        <v>1</v>
      </c>
      <c r="X21" s="67">
        <f t="array" ref="X21">if(AND($E21&lt;X$1,$E21&lt;&gt;0),0,iferror(INDEX(Drivers!$C$11:$N$13,MATCH($C21,Drivers!$B$11:$B$13,0),MATCH(min(((year(X$1)-YEAR($D21))*12+MONTH(X$1)-MONTH($D21)),12),Drivers!$C$10:$N$10))))</f>
        <v>1</v>
      </c>
      <c r="Y21" s="67">
        <f t="array" ref="Y21">if(AND($E21&lt;Y$1,$E21&lt;&gt;0),0,iferror(INDEX(Drivers!$C$11:$N$13,MATCH($C21,Drivers!$B$11:$B$13,0),MATCH(min(((year(Y$1)-YEAR($D21))*12+MONTH(Y$1)-MONTH($D21)),12),Drivers!$C$10:$N$10))))</f>
        <v>1</v>
      </c>
      <c r="Z21" s="67">
        <f t="array" ref="Z21">if(AND($E21&lt;Z$1,$E21&lt;&gt;0),0,iferror(INDEX(Drivers!$C$11:$N$13,MATCH($C21,Drivers!$B$11:$B$13,0),MATCH(min(((year(Z$1)-YEAR($D21))*12+MONTH(Z$1)-MONTH($D21)),12),Drivers!$C$10:$N$10))))</f>
        <v>1</v>
      </c>
      <c r="AA21" s="67">
        <f t="array" ref="AA21">if(AND($E21&lt;AA$1,$E21&lt;&gt;0),0,iferror(INDEX(Drivers!$C$11:$N$13,MATCH($C21,Drivers!$B$11:$B$13,0),MATCH(min(((year(AA$1)-YEAR($D21))*12+MONTH(AA$1)-MONTH($D21)),12),Drivers!$C$10:$N$10))))</f>
        <v>1</v>
      </c>
      <c r="AB21" s="67">
        <f t="array" ref="AB21">if(AND($E21&lt;AB$1,$E21&lt;&gt;0),0,iferror(INDEX(Drivers!$C$11:$N$13,MATCH($C21,Drivers!$B$11:$B$13,0),MATCH(min(((year(AB$1)-YEAR($D21))*12+MONTH(AB$1)-MONTH($D21)),12),Drivers!$C$10:$N$10))))</f>
        <v>1</v>
      </c>
      <c r="AC21" s="67">
        <f t="array" ref="AC21">if(AND($E21&lt;AC$1,$E21&lt;&gt;0),0,iferror(INDEX(Drivers!$C$11:$N$13,MATCH($C21,Drivers!$B$11:$B$13,0),MATCH(min(((year(AC$1)-YEAR($D21))*12+MONTH(AC$1)-MONTH($D21)),12),Drivers!$C$10:$N$10))))</f>
        <v>1</v>
      </c>
      <c r="AD21" s="67">
        <f t="array" ref="AD21">if(AND($E21&lt;AD$1,$E21&lt;&gt;0),0,iferror(INDEX(Drivers!$C$11:$N$13,MATCH($C21,Drivers!$B$11:$B$13,0),MATCH(min(((year(AD$1)-YEAR($D21))*12+MONTH(AD$1)-MONTH($D21)),12),Drivers!$C$10:$N$10))))</f>
        <v>1</v>
      </c>
    </row>
    <row r="22" ht="15.75" customHeight="1">
      <c r="A22" s="46"/>
      <c r="B22" s="53"/>
      <c r="C22" s="46"/>
      <c r="D22" s="65"/>
      <c r="E22" s="66"/>
      <c r="F22" s="46"/>
      <c r="G22" s="67">
        <f t="array" ref="G22">if(AND($E22&lt;G$1,$E22&lt;&gt;0),0,iferror(INDEX(Drivers!$C$11:$N$13,MATCH($C24,Drivers!$B$11:$B$13,0),MATCH(min(((year(G$1)-YEAR($D22))*12+MONTH(G$1)-MONTH($D22)),12),Drivers!$C$10:$N$10))))</f>
        <v>1</v>
      </c>
      <c r="H22" s="67">
        <f t="array" ref="H22">if(AND($E22&lt;H$1,$E22&lt;&gt;0),0,iferror(INDEX(Drivers!$C$11:$N$13,MATCH($C24,Drivers!$B$11:$B$13,0),MATCH(min(((year(H$1)-YEAR($D22))*12+MONTH(H$1)-MONTH($D22)),12),Drivers!$C$10:$N$10))))</f>
        <v>1</v>
      </c>
      <c r="I22" s="67">
        <f t="array" ref="I22">if(AND($E22&lt;I$1,$E22&lt;&gt;0),0,iferror(INDEX(Drivers!$C$11:$N$13,MATCH($C24,Drivers!$B$11:$B$13,0),MATCH(min(((year(I$1)-YEAR($D22))*12+MONTH(I$1)-MONTH($D22)),12),Drivers!$C$10:$N$10))))</f>
        <v>1</v>
      </c>
      <c r="J22" s="67">
        <f t="array" ref="J22">if(AND($E22&lt;J$1,$E22&lt;&gt;0),0,iferror(INDEX(Drivers!$C$11:$N$13,MATCH($C24,Drivers!$B$11:$B$13,0),MATCH(min(((year(J$1)-YEAR($D22))*12+MONTH(J$1)-MONTH($D22)),12),Drivers!$C$10:$N$10))))</f>
        <v>1</v>
      </c>
      <c r="K22" s="67">
        <f t="array" ref="K22">if(AND($E22&lt;K$1,$E22&lt;&gt;0),0,iferror(INDEX(Drivers!$C$11:$N$13,MATCH($C24,Drivers!$B$11:$B$13,0),MATCH(min(((year(K$1)-YEAR($D22))*12+MONTH(K$1)-MONTH($D22)),12),Drivers!$C$10:$N$10))))</f>
        <v>1</v>
      </c>
      <c r="L22" s="67">
        <f t="array" ref="L22">if(AND($E22&lt;L$1,$E22&lt;&gt;0),0,iferror(INDEX(Drivers!$C$11:$N$13,MATCH($C24,Drivers!$B$11:$B$13,0),MATCH(min(((year(L$1)-YEAR($D22))*12+MONTH(L$1)-MONTH($D22)),12),Drivers!$C$10:$N$10))))</f>
        <v>1</v>
      </c>
      <c r="M22" s="67">
        <f t="array" ref="M22">if(AND($E22&lt;M$1,$E22&lt;&gt;0),0,iferror(INDEX(Drivers!$C$11:$N$13,MATCH($C24,Drivers!$B$11:$B$13,0),MATCH(min(((year(M$1)-YEAR($D22))*12+MONTH(M$1)-MONTH($D22)),12),Drivers!$C$10:$N$10))))</f>
        <v>1</v>
      </c>
      <c r="N22" s="67">
        <f t="array" ref="N22">if(AND($E22&lt;N$1,$E22&lt;&gt;0),0,iferror(INDEX(Drivers!$C$11:$N$13,MATCH($C24,Drivers!$B$11:$B$13,0),MATCH(min(((year(N$1)-YEAR($D22))*12+MONTH(N$1)-MONTH($D22)),12),Drivers!$C$10:$N$10))))</f>
        <v>1</v>
      </c>
      <c r="O22" s="67">
        <f t="array" ref="O22">if(AND($E22&lt;O$1,$E22&lt;&gt;0),0,iferror(INDEX(Drivers!$C$11:$N$13,MATCH($C24,Drivers!$B$11:$B$13,0),MATCH(min(((year(O$1)-YEAR($D22))*12+MONTH(O$1)-MONTH($D22)),12),Drivers!$C$10:$N$10))))</f>
        <v>1</v>
      </c>
      <c r="P22" s="67">
        <f t="array" ref="P22">if(AND($E22&lt;P$1,$E22&lt;&gt;0),0,iferror(INDEX(Drivers!$C$11:$N$13,MATCH($C24,Drivers!$B$11:$B$13,0),MATCH(min(((year(P$1)-YEAR($D22))*12+MONTH(P$1)-MONTH($D22)),12),Drivers!$C$10:$N$10))))</f>
        <v>1</v>
      </c>
      <c r="Q22" s="67">
        <f t="array" ref="Q22">if(AND($E22&lt;Q$1,$E22&lt;&gt;0),0,iferror(INDEX(Drivers!$C$11:$N$13,MATCH($C24,Drivers!$B$11:$B$13,0),MATCH(min(((year(Q$1)-YEAR($D22))*12+MONTH(Q$1)-MONTH($D22)),12),Drivers!$C$10:$N$10))))</f>
        <v>1</v>
      </c>
      <c r="R22" s="67">
        <f t="array" ref="R22">if(AND($E22&lt;R$1,$E22&lt;&gt;0),0,iferror(INDEX(Drivers!$C$11:$N$13,MATCH($C24,Drivers!$B$11:$B$13,0),MATCH(min(((year(R$1)-YEAR($D22))*12+MONTH(R$1)-MONTH($D22)),12),Drivers!$C$10:$N$10))))</f>
        <v>1</v>
      </c>
      <c r="S22" s="67">
        <f t="array" ref="S22">if(AND($E22&lt;S$1,$E22&lt;&gt;0),0,iferror(INDEX(Drivers!$C$11:$N$13,MATCH($C24,Drivers!$B$11:$B$13,0),MATCH(min(((year(S$1)-YEAR($D22))*12+MONTH(S$1)-MONTH($D22)),12),Drivers!$C$10:$N$10))))</f>
        <v>1</v>
      </c>
      <c r="T22" s="67">
        <f t="array" ref="T22">if(AND($E22&lt;T$1,$E22&lt;&gt;0),0,iferror(INDEX(Drivers!$C$11:$N$13,MATCH($C24,Drivers!$B$11:$B$13,0),MATCH(min(((year(T$1)-YEAR($D22))*12+MONTH(T$1)-MONTH($D22)),12),Drivers!$C$10:$N$10))))</f>
        <v>1</v>
      </c>
      <c r="U22" s="67">
        <f t="array" ref="U22">if(AND($E22&lt;U$1,$E22&lt;&gt;0),0,iferror(INDEX(Drivers!$C$11:$N$13,MATCH($C24,Drivers!$B$11:$B$13,0),MATCH(min(((year(U$1)-YEAR($D22))*12+MONTH(U$1)-MONTH($D22)),12),Drivers!$C$10:$N$10))))</f>
        <v>1</v>
      </c>
      <c r="V22" s="67">
        <f t="array" ref="V22">if(AND($E22&lt;V$1,$E22&lt;&gt;0),0,iferror(INDEX(Drivers!$C$11:$N$13,MATCH($C24,Drivers!$B$11:$B$13,0),MATCH(min(((year(V$1)-YEAR($D22))*12+MONTH(V$1)-MONTH($D22)),12),Drivers!$C$10:$N$10))))</f>
        <v>1</v>
      </c>
      <c r="W22" s="67">
        <f t="array" ref="W22">if(AND($E22&lt;W$1,$E22&lt;&gt;0),0,iferror(INDEX(Drivers!$C$11:$N$13,MATCH($C24,Drivers!$B$11:$B$13,0),MATCH(min(((year(W$1)-YEAR($D22))*12+MONTH(W$1)-MONTH($D22)),12),Drivers!$C$10:$N$10))))</f>
        <v>1</v>
      </c>
      <c r="X22" s="67">
        <f t="array" ref="X22">if(AND($E22&lt;X$1,$E22&lt;&gt;0),0,iferror(INDEX(Drivers!$C$11:$N$13,MATCH($C24,Drivers!$B$11:$B$13,0),MATCH(min(((year(X$1)-YEAR($D22))*12+MONTH(X$1)-MONTH($D22)),12),Drivers!$C$10:$N$10))))</f>
        <v>1</v>
      </c>
      <c r="Y22" s="67">
        <f t="array" ref="Y22">if(AND($E22&lt;Y$1,$E22&lt;&gt;0),0,iferror(INDEX(Drivers!$C$11:$N$13,MATCH($C24,Drivers!$B$11:$B$13,0),MATCH(min(((year(Y$1)-YEAR($D22))*12+MONTH(Y$1)-MONTH($D22)),12),Drivers!$C$10:$N$10))))</f>
        <v>1</v>
      </c>
      <c r="Z22" s="67">
        <f t="array" ref="Z22">if(AND($E22&lt;Z$1,$E22&lt;&gt;0),0,iferror(INDEX(Drivers!$C$11:$N$13,MATCH($C24,Drivers!$B$11:$B$13,0),MATCH(min(((year(Z$1)-YEAR($D22))*12+MONTH(Z$1)-MONTH($D22)),12),Drivers!$C$10:$N$10))))</f>
        <v>1</v>
      </c>
      <c r="AA22" s="67">
        <f t="array" ref="AA22">if(AND($E22&lt;AA$1,$E22&lt;&gt;0),0,iferror(INDEX(Drivers!$C$11:$N$13,MATCH($C24,Drivers!$B$11:$B$13,0),MATCH(min(((year(AA$1)-YEAR($D22))*12+MONTH(AA$1)-MONTH($D22)),12),Drivers!$C$10:$N$10))))</f>
        <v>1</v>
      </c>
      <c r="AB22" s="67">
        <f t="array" ref="AB22">if(AND($E22&lt;AB$1,$E22&lt;&gt;0),0,iferror(INDEX(Drivers!$C$11:$N$13,MATCH($C24,Drivers!$B$11:$B$13,0),MATCH(min(((year(AB$1)-YEAR($D22))*12+MONTH(AB$1)-MONTH($D22)),12),Drivers!$C$10:$N$10))))</f>
        <v>1</v>
      </c>
      <c r="AC22" s="67">
        <f t="array" ref="AC22">if(AND($E22&lt;AC$1,$E22&lt;&gt;0),0,iferror(INDEX(Drivers!$C$11:$N$13,MATCH($C24,Drivers!$B$11:$B$13,0),MATCH(min(((year(AC$1)-YEAR($D22))*12+MONTH(AC$1)-MONTH($D22)),12),Drivers!$C$10:$N$10))))</f>
        <v>1</v>
      </c>
      <c r="AD22" s="67">
        <f t="array" ref="AD22">if(AND($E22&lt;AD$1,$E22&lt;&gt;0),0,iferror(INDEX(Drivers!$C$11:$N$13,MATCH($C24,Drivers!$B$11:$B$13,0),MATCH(min(((year(AD$1)-YEAR($D22))*12+MONTH(AD$1)-MONTH($D22)),12),Drivers!$C$10:$N$10))))</f>
        <v>1</v>
      </c>
    </row>
    <row r="23" ht="9.0" customHeight="1">
      <c r="A23" s="46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</row>
    <row r="24" ht="15.75" customHeight="1">
      <c r="A24" s="46"/>
      <c r="B24" s="46"/>
      <c r="C24" s="54" t="s">
        <v>39</v>
      </c>
      <c r="D24" s="46"/>
      <c r="E24" s="46"/>
      <c r="F24" s="46"/>
      <c r="G24" s="69">
        <f t="shared" ref="G24:AD24" si="3">SUMIFS(G$5:G$22,$C$5:$C$22,$C24)</f>
        <v>2.25</v>
      </c>
      <c r="H24" s="69">
        <f t="shared" si="3"/>
        <v>2.5</v>
      </c>
      <c r="I24" s="69">
        <f t="shared" si="3"/>
        <v>2.5</v>
      </c>
      <c r="J24" s="69">
        <f t="shared" si="3"/>
        <v>3</v>
      </c>
      <c r="K24" s="69">
        <f t="shared" si="3"/>
        <v>3.25</v>
      </c>
      <c r="L24" s="69">
        <f t="shared" si="3"/>
        <v>3.75</v>
      </c>
      <c r="M24" s="69">
        <f t="shared" si="3"/>
        <v>4.5</v>
      </c>
      <c r="N24" s="69">
        <f t="shared" si="3"/>
        <v>5</v>
      </c>
      <c r="O24" s="69">
        <f t="shared" si="3"/>
        <v>5.75</v>
      </c>
      <c r="P24" s="69">
        <f t="shared" si="3"/>
        <v>6</v>
      </c>
      <c r="Q24" s="69">
        <f t="shared" si="3"/>
        <v>6.5</v>
      </c>
      <c r="R24" s="69">
        <f t="shared" si="3"/>
        <v>6.75</v>
      </c>
      <c r="S24" s="69">
        <f t="shared" si="3"/>
        <v>7</v>
      </c>
      <c r="T24" s="69">
        <f t="shared" si="3"/>
        <v>7</v>
      </c>
      <c r="U24" s="69">
        <f t="shared" si="3"/>
        <v>7</v>
      </c>
      <c r="V24" s="69">
        <f t="shared" si="3"/>
        <v>7</v>
      </c>
      <c r="W24" s="69">
        <f t="shared" si="3"/>
        <v>7</v>
      </c>
      <c r="X24" s="69">
        <f t="shared" si="3"/>
        <v>7</v>
      </c>
      <c r="Y24" s="69">
        <f t="shared" si="3"/>
        <v>7</v>
      </c>
      <c r="Z24" s="69">
        <f t="shared" si="3"/>
        <v>7</v>
      </c>
      <c r="AA24" s="69">
        <f t="shared" si="3"/>
        <v>7</v>
      </c>
      <c r="AB24" s="69">
        <f t="shared" si="3"/>
        <v>7</v>
      </c>
      <c r="AC24" s="69">
        <f t="shared" si="3"/>
        <v>7</v>
      </c>
      <c r="AD24" s="69">
        <f t="shared" si="3"/>
        <v>7</v>
      </c>
    </row>
    <row r="25" ht="15.75" customHeight="1">
      <c r="A25" s="46"/>
      <c r="B25" s="46"/>
      <c r="C25" s="54" t="s">
        <v>42</v>
      </c>
      <c r="D25" s="46"/>
      <c r="E25" s="46"/>
      <c r="F25" s="46"/>
      <c r="G25" s="69">
        <f t="shared" ref="G25:AD25" si="4">SUMIFS(G$5:G$22,$C$5:$C$22,$C25)</f>
        <v>4</v>
      </c>
      <c r="H25" s="69">
        <f t="shared" si="4"/>
        <v>4.5</v>
      </c>
      <c r="I25" s="69">
        <f t="shared" si="4"/>
        <v>5.25</v>
      </c>
      <c r="J25" s="69">
        <f t="shared" si="4"/>
        <v>6</v>
      </c>
      <c r="K25" s="69">
        <f t="shared" si="4"/>
        <v>5.75</v>
      </c>
      <c r="L25" s="69">
        <f t="shared" si="4"/>
        <v>6</v>
      </c>
      <c r="M25" s="69">
        <f t="shared" si="4"/>
        <v>6</v>
      </c>
      <c r="N25" s="69">
        <f t="shared" si="4"/>
        <v>6</v>
      </c>
      <c r="O25" s="69">
        <f t="shared" si="4"/>
        <v>6</v>
      </c>
      <c r="P25" s="69">
        <f t="shared" si="4"/>
        <v>6</v>
      </c>
      <c r="Q25" s="69">
        <f t="shared" si="4"/>
        <v>6</v>
      </c>
      <c r="R25" s="69">
        <f t="shared" si="4"/>
        <v>6</v>
      </c>
      <c r="S25" s="69">
        <f t="shared" si="4"/>
        <v>6</v>
      </c>
      <c r="T25" s="69">
        <f t="shared" si="4"/>
        <v>6</v>
      </c>
      <c r="U25" s="69">
        <f t="shared" si="4"/>
        <v>6</v>
      </c>
      <c r="V25" s="69">
        <f t="shared" si="4"/>
        <v>6</v>
      </c>
      <c r="W25" s="69">
        <f t="shared" si="4"/>
        <v>6</v>
      </c>
      <c r="X25" s="69">
        <f t="shared" si="4"/>
        <v>6</v>
      </c>
      <c r="Y25" s="69">
        <f t="shared" si="4"/>
        <v>6</v>
      </c>
      <c r="Z25" s="69">
        <f t="shared" si="4"/>
        <v>6</v>
      </c>
      <c r="AA25" s="69">
        <f t="shared" si="4"/>
        <v>6</v>
      </c>
      <c r="AB25" s="69">
        <f t="shared" si="4"/>
        <v>6</v>
      </c>
      <c r="AC25" s="69">
        <f t="shared" si="4"/>
        <v>6</v>
      </c>
      <c r="AD25" s="69">
        <f t="shared" si="4"/>
        <v>6</v>
      </c>
    </row>
    <row r="26" ht="15.75" customHeight="1">
      <c r="A26" s="46"/>
      <c r="B26" s="46"/>
      <c r="C26" s="54" t="s">
        <v>51</v>
      </c>
      <c r="D26" s="46"/>
      <c r="E26" s="46"/>
      <c r="F26" s="46"/>
      <c r="G26" s="69">
        <f t="shared" ref="G26:AD26" si="5">SUMIFS(G$5:G$22,$C$5:$C$22,$C26)</f>
        <v>0</v>
      </c>
      <c r="H26" s="69">
        <f t="shared" si="5"/>
        <v>0</v>
      </c>
      <c r="I26" s="69">
        <f t="shared" si="5"/>
        <v>0</v>
      </c>
      <c r="J26" s="69">
        <f t="shared" si="5"/>
        <v>0.5</v>
      </c>
      <c r="K26" s="69">
        <f t="shared" si="5"/>
        <v>0.75</v>
      </c>
      <c r="L26" s="69">
        <f t="shared" si="5"/>
        <v>1</v>
      </c>
      <c r="M26" s="69">
        <f t="shared" si="5"/>
        <v>1</v>
      </c>
      <c r="N26" s="69">
        <f t="shared" si="5"/>
        <v>1</v>
      </c>
      <c r="O26" s="69">
        <f t="shared" si="5"/>
        <v>1</v>
      </c>
      <c r="P26" s="69">
        <f t="shared" si="5"/>
        <v>1</v>
      </c>
      <c r="Q26" s="69">
        <f t="shared" si="5"/>
        <v>1</v>
      </c>
      <c r="R26" s="69">
        <f t="shared" si="5"/>
        <v>1</v>
      </c>
      <c r="S26" s="69">
        <f t="shared" si="5"/>
        <v>1.5</v>
      </c>
      <c r="T26" s="69">
        <f t="shared" si="5"/>
        <v>1.75</v>
      </c>
      <c r="U26" s="69">
        <f t="shared" si="5"/>
        <v>2</v>
      </c>
      <c r="V26" s="69">
        <f t="shared" si="5"/>
        <v>2</v>
      </c>
      <c r="W26" s="69">
        <f t="shared" si="5"/>
        <v>2</v>
      </c>
      <c r="X26" s="69">
        <f t="shared" si="5"/>
        <v>2</v>
      </c>
      <c r="Y26" s="69">
        <f t="shared" si="5"/>
        <v>2</v>
      </c>
      <c r="Z26" s="69">
        <f t="shared" si="5"/>
        <v>2</v>
      </c>
      <c r="AA26" s="69">
        <f t="shared" si="5"/>
        <v>2</v>
      </c>
      <c r="AB26" s="69">
        <f t="shared" si="5"/>
        <v>2</v>
      </c>
      <c r="AC26" s="69">
        <f t="shared" si="5"/>
        <v>2</v>
      </c>
      <c r="AD26" s="69">
        <f t="shared" si="5"/>
        <v>2</v>
      </c>
    </row>
    <row r="27" ht="15.75" customHeight="1">
      <c r="A27" s="46"/>
      <c r="B27" s="46"/>
      <c r="C27" s="68" t="s">
        <v>52</v>
      </c>
      <c r="D27" s="68"/>
      <c r="E27" s="68"/>
      <c r="F27" s="68"/>
      <c r="G27" s="70">
        <f t="shared" ref="G27:AD27" si="6">G25+G24</f>
        <v>6.25</v>
      </c>
      <c r="H27" s="70">
        <f t="shared" si="6"/>
        <v>7</v>
      </c>
      <c r="I27" s="70">
        <f t="shared" si="6"/>
        <v>7.75</v>
      </c>
      <c r="J27" s="70">
        <f t="shared" si="6"/>
        <v>9</v>
      </c>
      <c r="K27" s="70">
        <f t="shared" si="6"/>
        <v>9</v>
      </c>
      <c r="L27" s="70">
        <f t="shared" si="6"/>
        <v>9.75</v>
      </c>
      <c r="M27" s="70">
        <f t="shared" si="6"/>
        <v>10.5</v>
      </c>
      <c r="N27" s="70">
        <f t="shared" si="6"/>
        <v>11</v>
      </c>
      <c r="O27" s="70">
        <f t="shared" si="6"/>
        <v>11.75</v>
      </c>
      <c r="P27" s="70">
        <f t="shared" si="6"/>
        <v>12</v>
      </c>
      <c r="Q27" s="70">
        <f t="shared" si="6"/>
        <v>12.5</v>
      </c>
      <c r="R27" s="70">
        <f t="shared" si="6"/>
        <v>12.75</v>
      </c>
      <c r="S27" s="70">
        <f t="shared" si="6"/>
        <v>13</v>
      </c>
      <c r="T27" s="70">
        <f t="shared" si="6"/>
        <v>13</v>
      </c>
      <c r="U27" s="70">
        <f t="shared" si="6"/>
        <v>13</v>
      </c>
      <c r="V27" s="70">
        <f t="shared" si="6"/>
        <v>13</v>
      </c>
      <c r="W27" s="70">
        <f t="shared" si="6"/>
        <v>13</v>
      </c>
      <c r="X27" s="70">
        <f t="shared" si="6"/>
        <v>13</v>
      </c>
      <c r="Y27" s="70">
        <f t="shared" si="6"/>
        <v>13</v>
      </c>
      <c r="Z27" s="70">
        <f t="shared" si="6"/>
        <v>13</v>
      </c>
      <c r="AA27" s="70">
        <f t="shared" si="6"/>
        <v>13</v>
      </c>
      <c r="AB27" s="70">
        <f t="shared" si="6"/>
        <v>13</v>
      </c>
      <c r="AC27" s="70">
        <f t="shared" si="6"/>
        <v>13</v>
      </c>
      <c r="AD27" s="70">
        <f t="shared" si="6"/>
        <v>13</v>
      </c>
    </row>
    <row r="28" ht="15.7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</row>
    <row r="29" ht="15.75" customHeight="1">
      <c r="A29" s="46"/>
      <c r="B29" s="58" t="s">
        <v>28</v>
      </c>
      <c r="C29" s="59"/>
      <c r="D29" s="60"/>
      <c r="E29" s="61"/>
      <c r="F29" s="62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</row>
    <row r="30" ht="15.7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</row>
    <row r="31" ht="15.75" customHeight="1">
      <c r="A31" s="46"/>
      <c r="B31" s="46" t="str">
        <f t="shared" ref="B31:E31" si="7">B5</f>
        <v>OnlyCFO</v>
      </c>
      <c r="C31" s="46" t="str">
        <f t="shared" si="7"/>
        <v>Account Executives - Enterprise</v>
      </c>
      <c r="D31" s="71">
        <f t="shared" si="7"/>
        <v>44562</v>
      </c>
      <c r="E31" s="72" t="str">
        <f t="shared" si="7"/>
        <v>1/0/00</v>
      </c>
      <c r="F31" s="46"/>
      <c r="G31" s="73">
        <f t="array" ref="G31">IFERROR((INDEX(Drivers!$B$5:$C$7,MATCH($C31,Drivers!$B$5:$B$7,0),2)))*G5*INDEX(Drivers!$C$24:$N$24,MATCH(LEFT(G$2,4),Drivers!$C$23:$N$23,0))</f>
        <v>72000</v>
      </c>
      <c r="H31" s="73">
        <f t="array" ref="H31">IFERROR((INDEX(Drivers!$B$5:$C$7,MATCH($C31,Drivers!$B$5:$B$7,0),2)))*H5*INDEX(Drivers!$C$24:$N$24,MATCH(LEFT(H$2,4),Drivers!$C$23:$N$23,0))</f>
        <v>72000</v>
      </c>
      <c r="I31" s="73">
        <f t="array" ref="I31">IFERROR((INDEX(Drivers!$B$5:$C$7,MATCH($C31,Drivers!$B$5:$B$7,0),2)))*I5*INDEX(Drivers!$C$24:$N$24,MATCH(LEFT(I$2,4),Drivers!$C$23:$N$23,0))</f>
        <v>96000</v>
      </c>
      <c r="J31" s="73">
        <f t="array" ref="J31">IFERROR((INDEX(Drivers!$B$5:$C$7,MATCH($C31,Drivers!$B$5:$B$7,0),2)))*J5*INDEX(Drivers!$C$24:$N$24,MATCH(LEFT(J$2,4),Drivers!$C$23:$N$23,0))</f>
        <v>72000</v>
      </c>
      <c r="K31" s="73">
        <f t="array" ref="K31">IFERROR((INDEX(Drivers!$B$5:$C$7,MATCH($C31,Drivers!$B$5:$B$7,0),2)))*K5*INDEX(Drivers!$C$24:$N$24,MATCH(LEFT(K$2,4),Drivers!$C$23:$N$23,0))</f>
        <v>72000</v>
      </c>
      <c r="L31" s="73">
        <f t="array" ref="L31">IFERROR((INDEX(Drivers!$B$5:$C$7,MATCH($C31,Drivers!$B$5:$B$7,0),2)))*L5*INDEX(Drivers!$C$24:$N$24,MATCH(LEFT(L$2,4),Drivers!$C$23:$N$23,0))</f>
        <v>96000</v>
      </c>
      <c r="M31" s="73">
        <f t="array" ref="M31">IFERROR((INDEX(Drivers!$B$5:$C$7,MATCH($C31,Drivers!$B$5:$B$7,0),2)))*M5*INDEX(Drivers!$C$24:$N$24,MATCH(LEFT(M$2,4),Drivers!$C$23:$N$23,0))</f>
        <v>90000</v>
      </c>
      <c r="N31" s="73">
        <f t="array" ref="N31">IFERROR((INDEX(Drivers!$B$5:$C$7,MATCH($C31,Drivers!$B$5:$B$7,0),2)))*N5*INDEX(Drivers!$C$24:$N$24,MATCH(LEFT(N$2,4),Drivers!$C$23:$N$23,0))</f>
        <v>90000</v>
      </c>
      <c r="O31" s="73">
        <f t="array" ref="O31">IFERROR((INDEX(Drivers!$B$5:$C$7,MATCH($C31,Drivers!$B$5:$B$7,0),2)))*O5*INDEX(Drivers!$C$24:$N$24,MATCH(LEFT(O$2,4),Drivers!$C$23:$N$23,0))</f>
        <v>120000</v>
      </c>
      <c r="P31" s="73">
        <f t="array" ref="P31">IFERROR((INDEX(Drivers!$B$5:$C$7,MATCH($C31,Drivers!$B$5:$B$7,0),2)))*P5*INDEX(Drivers!$C$24:$N$24,MATCH(LEFT(P$2,4),Drivers!$C$23:$N$23,0))</f>
        <v>126000</v>
      </c>
      <c r="Q31" s="73">
        <f t="array" ref="Q31">IFERROR((INDEX(Drivers!$B$5:$C$7,MATCH($C31,Drivers!$B$5:$B$7,0),2)))*Q5*INDEX(Drivers!$C$24:$N$24,MATCH(LEFT(Q$2,4),Drivers!$C$23:$N$23,0))</f>
        <v>126000</v>
      </c>
      <c r="R31" s="73">
        <f t="array" ref="R31">IFERROR((INDEX(Drivers!$B$5:$C$7,MATCH($C31,Drivers!$B$5:$B$7,0),2)))*R5*INDEX(Drivers!$C$24:$N$24,MATCH(LEFT(R$2,4),Drivers!$C$23:$N$23,0))</f>
        <v>168000</v>
      </c>
      <c r="S31" s="73">
        <f t="array" ref="S31">IFERROR((INDEX(Drivers!$B$5:$C$7,MATCH($C31,Drivers!$B$5:$B$7,0),2)))*S5*INDEX(Drivers!$C$24:$N$24,MATCH(LEFT(S$2,4),Drivers!$C$23:$N$23,0))</f>
        <v>72000</v>
      </c>
      <c r="T31" s="73">
        <f t="array" ref="T31">IFERROR((INDEX(Drivers!$B$5:$C$7,MATCH($C31,Drivers!$B$5:$B$7,0),2)))*T5*INDEX(Drivers!$C$24:$N$24,MATCH(LEFT(T$2,4),Drivers!$C$23:$N$23,0))</f>
        <v>72000</v>
      </c>
      <c r="U31" s="73">
        <f t="array" ref="U31">IFERROR((INDEX(Drivers!$B$5:$C$7,MATCH($C31,Drivers!$B$5:$B$7,0),2)))*U5*INDEX(Drivers!$C$24:$N$24,MATCH(LEFT(U$2,4),Drivers!$C$23:$N$23,0))</f>
        <v>96000</v>
      </c>
      <c r="V31" s="73">
        <f t="array" ref="V31">IFERROR((INDEX(Drivers!$B$5:$C$7,MATCH($C31,Drivers!$B$5:$B$7,0),2)))*V5*INDEX(Drivers!$C$24:$N$24,MATCH(LEFT(V$2,4),Drivers!$C$23:$N$23,0))</f>
        <v>72000</v>
      </c>
      <c r="W31" s="73">
        <f t="array" ref="W31">IFERROR((INDEX(Drivers!$B$5:$C$7,MATCH($C31,Drivers!$B$5:$B$7,0),2)))*W5*INDEX(Drivers!$C$24:$N$24,MATCH(LEFT(W$2,4),Drivers!$C$23:$N$23,0))</f>
        <v>72000</v>
      </c>
      <c r="X31" s="73">
        <f t="array" ref="X31">IFERROR((INDEX(Drivers!$B$5:$C$7,MATCH($C31,Drivers!$B$5:$B$7,0),2)))*X5*INDEX(Drivers!$C$24:$N$24,MATCH(LEFT(X$2,4),Drivers!$C$23:$N$23,0))</f>
        <v>96000</v>
      </c>
      <c r="Y31" s="73">
        <f t="array" ref="Y31">IFERROR((INDEX(Drivers!$B$5:$C$7,MATCH($C31,Drivers!$B$5:$B$7,0),2)))*Y5*INDEX(Drivers!$C$24:$N$24,MATCH(LEFT(Y$2,4),Drivers!$C$23:$N$23,0))</f>
        <v>90000</v>
      </c>
      <c r="Z31" s="73">
        <f t="array" ref="Z31">IFERROR((INDEX(Drivers!$B$5:$C$7,MATCH($C31,Drivers!$B$5:$B$7,0),2)))*Z5*INDEX(Drivers!$C$24:$N$24,MATCH(LEFT(Z$2,4),Drivers!$C$23:$N$23,0))</f>
        <v>90000</v>
      </c>
      <c r="AA31" s="73">
        <f t="array" ref="AA31">IFERROR((INDEX(Drivers!$B$5:$C$7,MATCH($C31,Drivers!$B$5:$B$7,0),2)))*AA5*INDEX(Drivers!$C$24:$N$24,MATCH(LEFT(AA$2,4),Drivers!$C$23:$N$23,0))</f>
        <v>120000</v>
      </c>
      <c r="AB31" s="73">
        <f t="array" ref="AB31">IFERROR((INDEX(Drivers!$B$5:$C$7,MATCH($C31,Drivers!$B$5:$B$7,0),2)))*AB5*INDEX(Drivers!$C$24:$N$24,MATCH(LEFT(AB$2,4),Drivers!$C$23:$N$23,0))</f>
        <v>126000</v>
      </c>
      <c r="AC31" s="73">
        <f t="array" ref="AC31">IFERROR((INDEX(Drivers!$B$5:$C$7,MATCH($C31,Drivers!$B$5:$B$7,0),2)))*AC5*INDEX(Drivers!$C$24:$N$24,MATCH(LEFT(AC$2,4),Drivers!$C$23:$N$23,0))</f>
        <v>126000</v>
      </c>
      <c r="AD31" s="73">
        <f t="array" ref="AD31">IFERROR((INDEX(Drivers!$B$5:$C$7,MATCH($C31,Drivers!$B$5:$B$7,0),2)))*AD5*INDEX(Drivers!$C$24:$N$24,MATCH(LEFT(AD$2,4),Drivers!$C$23:$N$23,0))</f>
        <v>168000</v>
      </c>
    </row>
    <row r="32" ht="15.75" customHeight="1">
      <c r="A32" s="46"/>
      <c r="B32" s="46" t="str">
        <f t="shared" ref="B32:E32" si="8">B6</f>
        <v>Bob</v>
      </c>
      <c r="C32" s="46" t="str">
        <f t="shared" si="8"/>
        <v>Account Executives - Mid Market</v>
      </c>
      <c r="D32" s="71">
        <f t="shared" si="8"/>
        <v>44652</v>
      </c>
      <c r="E32" s="72" t="str">
        <f t="shared" si="8"/>
        <v>1/0/00</v>
      </c>
      <c r="F32" s="46"/>
      <c r="G32" s="73">
        <f t="array" ref="G32">IFERROR((INDEX(Drivers!$B$5:$C$7,MATCH($C32,Drivers!$B$5:$B$7,0),2)))*G6*INDEX(Drivers!$C$24:$N$24,MATCH(LEFT(G$2,4),Drivers!$C$23:$N$23,0))</f>
        <v>36000</v>
      </c>
      <c r="H32" s="73">
        <f t="array" ref="H32">IFERROR((INDEX(Drivers!$B$5:$C$7,MATCH($C32,Drivers!$B$5:$B$7,0),2)))*H6*INDEX(Drivers!$C$24:$N$24,MATCH(LEFT(H$2,4),Drivers!$C$23:$N$23,0))</f>
        <v>36000</v>
      </c>
      <c r="I32" s="73">
        <f t="array" ref="I32">IFERROR((INDEX(Drivers!$B$5:$C$7,MATCH($C32,Drivers!$B$5:$B$7,0),2)))*I6*INDEX(Drivers!$C$24:$N$24,MATCH(LEFT(I$2,4),Drivers!$C$23:$N$23,0))</f>
        <v>48000</v>
      </c>
      <c r="J32" s="73">
        <f t="array" ref="J32">IFERROR((INDEX(Drivers!$B$5:$C$7,MATCH($C32,Drivers!$B$5:$B$7,0),2)))*J6*INDEX(Drivers!$C$24:$N$24,MATCH(LEFT(J$2,4),Drivers!$C$23:$N$23,0))</f>
        <v>36000</v>
      </c>
      <c r="K32" s="73">
        <f t="array" ref="K32">IFERROR((INDEX(Drivers!$B$5:$C$7,MATCH($C32,Drivers!$B$5:$B$7,0),2)))*K6*INDEX(Drivers!$C$24:$N$24,MATCH(LEFT(K$2,4),Drivers!$C$23:$N$23,0))</f>
        <v>36000</v>
      </c>
      <c r="L32" s="73">
        <f t="array" ref="L32">IFERROR((INDEX(Drivers!$B$5:$C$7,MATCH($C32,Drivers!$B$5:$B$7,0),2)))*L6*INDEX(Drivers!$C$24:$N$24,MATCH(LEFT(L$2,4),Drivers!$C$23:$N$23,0))</f>
        <v>48000</v>
      </c>
      <c r="M32" s="73">
        <f t="array" ref="M32">IFERROR((INDEX(Drivers!$B$5:$C$7,MATCH($C32,Drivers!$B$5:$B$7,0),2)))*M6*INDEX(Drivers!$C$24:$N$24,MATCH(LEFT(M$2,4),Drivers!$C$23:$N$23,0))</f>
        <v>45000</v>
      </c>
      <c r="N32" s="73">
        <f t="array" ref="N32">IFERROR((INDEX(Drivers!$B$5:$C$7,MATCH($C32,Drivers!$B$5:$B$7,0),2)))*N6*INDEX(Drivers!$C$24:$N$24,MATCH(LEFT(N$2,4),Drivers!$C$23:$N$23,0))</f>
        <v>45000</v>
      </c>
      <c r="O32" s="73">
        <f t="array" ref="O32">IFERROR((INDEX(Drivers!$B$5:$C$7,MATCH($C32,Drivers!$B$5:$B$7,0),2)))*O6*INDEX(Drivers!$C$24:$N$24,MATCH(LEFT(O$2,4),Drivers!$C$23:$N$23,0))</f>
        <v>60000</v>
      </c>
      <c r="P32" s="73">
        <f t="array" ref="P32">IFERROR((INDEX(Drivers!$B$5:$C$7,MATCH($C32,Drivers!$B$5:$B$7,0),2)))*P6*INDEX(Drivers!$C$24:$N$24,MATCH(LEFT(P$2,4),Drivers!$C$23:$N$23,0))</f>
        <v>63000</v>
      </c>
      <c r="Q32" s="73">
        <f t="array" ref="Q32">IFERROR((INDEX(Drivers!$B$5:$C$7,MATCH($C32,Drivers!$B$5:$B$7,0),2)))*Q6*INDEX(Drivers!$C$24:$N$24,MATCH(LEFT(Q$2,4),Drivers!$C$23:$N$23,0))</f>
        <v>63000</v>
      </c>
      <c r="R32" s="73">
        <f t="array" ref="R32">IFERROR((INDEX(Drivers!$B$5:$C$7,MATCH($C32,Drivers!$B$5:$B$7,0),2)))*R6*INDEX(Drivers!$C$24:$N$24,MATCH(LEFT(R$2,4),Drivers!$C$23:$N$23,0))</f>
        <v>84000</v>
      </c>
      <c r="S32" s="73">
        <f t="array" ref="S32">IFERROR((INDEX(Drivers!$B$5:$C$7,MATCH($C32,Drivers!$B$5:$B$7,0),2)))*S6*INDEX(Drivers!$C$24:$N$24,MATCH(LEFT(S$2,4),Drivers!$C$23:$N$23,0))</f>
        <v>36000</v>
      </c>
      <c r="T32" s="73">
        <f t="array" ref="T32">IFERROR((INDEX(Drivers!$B$5:$C$7,MATCH($C32,Drivers!$B$5:$B$7,0),2)))*T6*INDEX(Drivers!$C$24:$N$24,MATCH(LEFT(T$2,4),Drivers!$C$23:$N$23,0))</f>
        <v>36000</v>
      </c>
      <c r="U32" s="73">
        <f t="array" ref="U32">IFERROR((INDEX(Drivers!$B$5:$C$7,MATCH($C32,Drivers!$B$5:$B$7,0),2)))*U6*INDEX(Drivers!$C$24:$N$24,MATCH(LEFT(U$2,4),Drivers!$C$23:$N$23,0))</f>
        <v>48000</v>
      </c>
      <c r="V32" s="73">
        <f t="array" ref="V32">IFERROR((INDEX(Drivers!$B$5:$C$7,MATCH($C32,Drivers!$B$5:$B$7,0),2)))*V6*INDEX(Drivers!$C$24:$N$24,MATCH(LEFT(V$2,4),Drivers!$C$23:$N$23,0))</f>
        <v>36000</v>
      </c>
      <c r="W32" s="73">
        <f t="array" ref="W32">IFERROR((INDEX(Drivers!$B$5:$C$7,MATCH($C32,Drivers!$B$5:$B$7,0),2)))*W6*INDEX(Drivers!$C$24:$N$24,MATCH(LEFT(W$2,4),Drivers!$C$23:$N$23,0))</f>
        <v>36000</v>
      </c>
      <c r="X32" s="73">
        <f t="array" ref="X32">IFERROR((INDEX(Drivers!$B$5:$C$7,MATCH($C32,Drivers!$B$5:$B$7,0),2)))*X6*INDEX(Drivers!$C$24:$N$24,MATCH(LEFT(X$2,4),Drivers!$C$23:$N$23,0))</f>
        <v>48000</v>
      </c>
      <c r="Y32" s="73">
        <f t="array" ref="Y32">IFERROR((INDEX(Drivers!$B$5:$C$7,MATCH($C32,Drivers!$B$5:$B$7,0),2)))*Y6*INDEX(Drivers!$C$24:$N$24,MATCH(LEFT(Y$2,4),Drivers!$C$23:$N$23,0))</f>
        <v>45000</v>
      </c>
      <c r="Z32" s="73">
        <f t="array" ref="Z32">IFERROR((INDEX(Drivers!$B$5:$C$7,MATCH($C32,Drivers!$B$5:$B$7,0),2)))*Z6*INDEX(Drivers!$C$24:$N$24,MATCH(LEFT(Z$2,4),Drivers!$C$23:$N$23,0))</f>
        <v>45000</v>
      </c>
      <c r="AA32" s="73">
        <f t="array" ref="AA32">IFERROR((INDEX(Drivers!$B$5:$C$7,MATCH($C32,Drivers!$B$5:$B$7,0),2)))*AA6*INDEX(Drivers!$C$24:$N$24,MATCH(LEFT(AA$2,4),Drivers!$C$23:$N$23,0))</f>
        <v>60000</v>
      </c>
      <c r="AB32" s="73">
        <f t="array" ref="AB32">IFERROR((INDEX(Drivers!$B$5:$C$7,MATCH($C32,Drivers!$B$5:$B$7,0),2)))*AB6*INDEX(Drivers!$C$24:$N$24,MATCH(LEFT(AB$2,4),Drivers!$C$23:$N$23,0))</f>
        <v>63000</v>
      </c>
      <c r="AC32" s="73">
        <f t="array" ref="AC32">IFERROR((INDEX(Drivers!$B$5:$C$7,MATCH($C32,Drivers!$B$5:$B$7,0),2)))*AC6*INDEX(Drivers!$C$24:$N$24,MATCH(LEFT(AC$2,4),Drivers!$C$23:$N$23,0))</f>
        <v>63000</v>
      </c>
      <c r="AD32" s="73">
        <f t="array" ref="AD32">IFERROR((INDEX(Drivers!$B$5:$C$7,MATCH($C32,Drivers!$B$5:$B$7,0),2)))*AD6*INDEX(Drivers!$C$24:$N$24,MATCH(LEFT(AD$2,4),Drivers!$C$23:$N$23,0))</f>
        <v>84000</v>
      </c>
    </row>
    <row r="33" ht="15.75" customHeight="1">
      <c r="A33" s="46"/>
      <c r="B33" s="46" t="str">
        <f t="shared" ref="B33:E33" si="9">B7</f>
        <v>John</v>
      </c>
      <c r="C33" s="46" t="str">
        <f t="shared" si="9"/>
        <v>Account Executives - Enterprise</v>
      </c>
      <c r="D33" s="71">
        <f t="shared" si="9"/>
        <v>44835</v>
      </c>
      <c r="E33" s="72" t="str">
        <f t="shared" si="9"/>
        <v>1/0/00</v>
      </c>
      <c r="F33" s="46"/>
      <c r="G33" s="73">
        <f t="array" ref="G33">IFERROR((INDEX(Drivers!$B$5:$C$7,MATCH($C33,Drivers!$B$5:$B$7,0),2)))*G7*INDEX(Drivers!$C$24:$N$24,MATCH(LEFT(G$2,4),Drivers!$C$23:$N$23,0))</f>
        <v>72000</v>
      </c>
      <c r="H33" s="73">
        <f t="array" ref="H33">IFERROR((INDEX(Drivers!$B$5:$C$7,MATCH($C33,Drivers!$B$5:$B$7,0),2)))*H7*INDEX(Drivers!$C$24:$N$24,MATCH(LEFT(H$2,4),Drivers!$C$23:$N$23,0))</f>
        <v>72000</v>
      </c>
      <c r="I33" s="73">
        <f t="array" ref="I33">IFERROR((INDEX(Drivers!$B$5:$C$7,MATCH($C33,Drivers!$B$5:$B$7,0),2)))*I7*INDEX(Drivers!$C$24:$N$24,MATCH(LEFT(I$2,4),Drivers!$C$23:$N$23,0))</f>
        <v>96000</v>
      </c>
      <c r="J33" s="73">
        <f t="array" ref="J33">IFERROR((INDEX(Drivers!$B$5:$C$7,MATCH($C33,Drivers!$B$5:$B$7,0),2)))*J7*INDEX(Drivers!$C$24:$N$24,MATCH(LEFT(J$2,4),Drivers!$C$23:$N$23,0))</f>
        <v>72000</v>
      </c>
      <c r="K33" s="73">
        <f t="array" ref="K33">IFERROR((INDEX(Drivers!$B$5:$C$7,MATCH($C33,Drivers!$B$5:$B$7,0),2)))*K7*INDEX(Drivers!$C$24:$N$24,MATCH(LEFT(K$2,4),Drivers!$C$23:$N$23,0))</f>
        <v>72000</v>
      </c>
      <c r="L33" s="73">
        <f t="array" ref="L33">IFERROR((INDEX(Drivers!$B$5:$C$7,MATCH($C33,Drivers!$B$5:$B$7,0),2)))*L7*INDEX(Drivers!$C$24:$N$24,MATCH(LEFT(L$2,4),Drivers!$C$23:$N$23,0))</f>
        <v>96000</v>
      </c>
      <c r="M33" s="73">
        <f t="array" ref="M33">IFERROR((INDEX(Drivers!$B$5:$C$7,MATCH($C33,Drivers!$B$5:$B$7,0),2)))*M7*INDEX(Drivers!$C$24:$N$24,MATCH(LEFT(M$2,4),Drivers!$C$23:$N$23,0))</f>
        <v>90000</v>
      </c>
      <c r="N33" s="73">
        <f t="array" ref="N33">IFERROR((INDEX(Drivers!$B$5:$C$7,MATCH($C33,Drivers!$B$5:$B$7,0),2)))*N7*INDEX(Drivers!$C$24:$N$24,MATCH(LEFT(N$2,4),Drivers!$C$23:$N$23,0))</f>
        <v>90000</v>
      </c>
      <c r="O33" s="73">
        <f t="array" ref="O33">IFERROR((INDEX(Drivers!$B$5:$C$7,MATCH($C33,Drivers!$B$5:$B$7,0),2)))*O7*INDEX(Drivers!$C$24:$N$24,MATCH(LEFT(O$2,4),Drivers!$C$23:$N$23,0))</f>
        <v>120000</v>
      </c>
      <c r="P33" s="73">
        <f t="array" ref="P33">IFERROR((INDEX(Drivers!$B$5:$C$7,MATCH($C33,Drivers!$B$5:$B$7,0),2)))*P7*INDEX(Drivers!$C$24:$N$24,MATCH(LEFT(P$2,4),Drivers!$C$23:$N$23,0))</f>
        <v>126000</v>
      </c>
      <c r="Q33" s="73">
        <f t="array" ref="Q33">IFERROR((INDEX(Drivers!$B$5:$C$7,MATCH($C33,Drivers!$B$5:$B$7,0),2)))*Q7*INDEX(Drivers!$C$24:$N$24,MATCH(LEFT(Q$2,4),Drivers!$C$23:$N$23,0))</f>
        <v>126000</v>
      </c>
      <c r="R33" s="73">
        <f t="array" ref="R33">IFERROR((INDEX(Drivers!$B$5:$C$7,MATCH($C33,Drivers!$B$5:$B$7,0),2)))*R7*INDEX(Drivers!$C$24:$N$24,MATCH(LEFT(R$2,4),Drivers!$C$23:$N$23,0))</f>
        <v>168000</v>
      </c>
      <c r="S33" s="73">
        <f t="array" ref="S33">IFERROR((INDEX(Drivers!$B$5:$C$7,MATCH($C33,Drivers!$B$5:$B$7,0),2)))*S7*INDEX(Drivers!$C$24:$N$24,MATCH(LEFT(S$2,4),Drivers!$C$23:$N$23,0))</f>
        <v>72000</v>
      </c>
      <c r="T33" s="73">
        <f t="array" ref="T33">IFERROR((INDEX(Drivers!$B$5:$C$7,MATCH($C33,Drivers!$B$5:$B$7,0),2)))*T7*INDEX(Drivers!$C$24:$N$24,MATCH(LEFT(T$2,4),Drivers!$C$23:$N$23,0))</f>
        <v>72000</v>
      </c>
      <c r="U33" s="73">
        <f t="array" ref="U33">IFERROR((INDEX(Drivers!$B$5:$C$7,MATCH($C33,Drivers!$B$5:$B$7,0),2)))*U7*INDEX(Drivers!$C$24:$N$24,MATCH(LEFT(U$2,4),Drivers!$C$23:$N$23,0))</f>
        <v>96000</v>
      </c>
      <c r="V33" s="73">
        <f t="array" ref="V33">IFERROR((INDEX(Drivers!$B$5:$C$7,MATCH($C33,Drivers!$B$5:$B$7,0),2)))*V7*INDEX(Drivers!$C$24:$N$24,MATCH(LEFT(V$2,4),Drivers!$C$23:$N$23,0))</f>
        <v>72000</v>
      </c>
      <c r="W33" s="73">
        <f t="array" ref="W33">IFERROR((INDEX(Drivers!$B$5:$C$7,MATCH($C33,Drivers!$B$5:$B$7,0),2)))*W7*INDEX(Drivers!$C$24:$N$24,MATCH(LEFT(W$2,4),Drivers!$C$23:$N$23,0))</f>
        <v>72000</v>
      </c>
      <c r="X33" s="73">
        <f t="array" ref="X33">IFERROR((INDEX(Drivers!$B$5:$C$7,MATCH($C33,Drivers!$B$5:$B$7,0),2)))*X7*INDEX(Drivers!$C$24:$N$24,MATCH(LEFT(X$2,4),Drivers!$C$23:$N$23,0))</f>
        <v>96000</v>
      </c>
      <c r="Y33" s="73">
        <f t="array" ref="Y33">IFERROR((INDEX(Drivers!$B$5:$C$7,MATCH($C33,Drivers!$B$5:$B$7,0),2)))*Y7*INDEX(Drivers!$C$24:$N$24,MATCH(LEFT(Y$2,4),Drivers!$C$23:$N$23,0))</f>
        <v>90000</v>
      </c>
      <c r="Z33" s="73">
        <f t="array" ref="Z33">IFERROR((INDEX(Drivers!$B$5:$C$7,MATCH($C33,Drivers!$B$5:$B$7,0),2)))*Z7*INDEX(Drivers!$C$24:$N$24,MATCH(LEFT(Z$2,4),Drivers!$C$23:$N$23,0))</f>
        <v>90000</v>
      </c>
      <c r="AA33" s="73">
        <f t="array" ref="AA33">IFERROR((INDEX(Drivers!$B$5:$C$7,MATCH($C33,Drivers!$B$5:$B$7,0),2)))*AA7*INDEX(Drivers!$C$24:$N$24,MATCH(LEFT(AA$2,4),Drivers!$C$23:$N$23,0))</f>
        <v>120000</v>
      </c>
      <c r="AB33" s="73">
        <f t="array" ref="AB33">IFERROR((INDEX(Drivers!$B$5:$C$7,MATCH($C33,Drivers!$B$5:$B$7,0),2)))*AB7*INDEX(Drivers!$C$24:$N$24,MATCH(LEFT(AB$2,4),Drivers!$C$23:$N$23,0))</f>
        <v>126000</v>
      </c>
      <c r="AC33" s="73">
        <f t="array" ref="AC33">IFERROR((INDEX(Drivers!$B$5:$C$7,MATCH($C33,Drivers!$B$5:$B$7,0),2)))*AC7*INDEX(Drivers!$C$24:$N$24,MATCH(LEFT(AC$2,4),Drivers!$C$23:$N$23,0))</f>
        <v>126000</v>
      </c>
      <c r="AD33" s="73">
        <f t="array" ref="AD33">IFERROR((INDEX(Drivers!$B$5:$C$7,MATCH($C33,Drivers!$B$5:$B$7,0),2)))*AD7*INDEX(Drivers!$C$24:$N$24,MATCH(LEFT(AD$2,4),Drivers!$C$23:$N$23,0))</f>
        <v>168000</v>
      </c>
    </row>
    <row r="34" ht="15.75" customHeight="1">
      <c r="A34" s="46"/>
      <c r="B34" s="46" t="str">
        <f t="shared" ref="B34:E34" si="10">B8</f>
        <v>CJ</v>
      </c>
      <c r="C34" s="46" t="str">
        <f t="shared" si="10"/>
        <v>Account Executives - Enterprise</v>
      </c>
      <c r="D34" s="71">
        <f t="shared" si="10"/>
        <v>44986</v>
      </c>
      <c r="E34" s="71">
        <f t="shared" si="10"/>
        <v>45323</v>
      </c>
      <c r="F34" s="46"/>
      <c r="G34" s="73">
        <f t="array" ref="G34">IFERROR((INDEX(Drivers!$B$5:$C$7,MATCH($C34,Drivers!$B$5:$B$7,0),2)))*G8*INDEX(Drivers!$C$24:$N$24,MATCH(LEFT(G$2,4),Drivers!$C$23:$N$23,0))</f>
        <v>0</v>
      </c>
      <c r="H34" s="73">
        <f t="array" ref="H34">IFERROR((INDEX(Drivers!$B$5:$C$7,MATCH($C34,Drivers!$B$5:$B$7,0),2)))*H8*INDEX(Drivers!$C$24:$N$24,MATCH(LEFT(H$2,4),Drivers!$C$23:$N$23,0))</f>
        <v>0</v>
      </c>
      <c r="I34" s="73">
        <f t="array" ref="I34">IFERROR((INDEX(Drivers!$B$5:$C$7,MATCH($C34,Drivers!$B$5:$B$7,0),2)))*I8*INDEX(Drivers!$C$24:$N$24,MATCH(LEFT(I$2,4),Drivers!$C$23:$N$23,0))</f>
        <v>0</v>
      </c>
      <c r="J34" s="73">
        <f t="array" ref="J34">IFERROR((INDEX(Drivers!$B$5:$C$7,MATCH($C34,Drivers!$B$5:$B$7,0),2)))*J8*INDEX(Drivers!$C$24:$N$24,MATCH(LEFT(J$2,4),Drivers!$C$23:$N$23,0))</f>
        <v>0</v>
      </c>
      <c r="K34" s="73">
        <f t="array" ref="K34">IFERROR((INDEX(Drivers!$B$5:$C$7,MATCH($C34,Drivers!$B$5:$B$7,0),2)))*K8*INDEX(Drivers!$C$24:$N$24,MATCH(LEFT(K$2,4),Drivers!$C$23:$N$23,0))</f>
        <v>0</v>
      </c>
      <c r="L34" s="73">
        <f t="array" ref="L34">IFERROR((INDEX(Drivers!$B$5:$C$7,MATCH($C34,Drivers!$B$5:$B$7,0),2)))*L8*INDEX(Drivers!$C$24:$N$24,MATCH(LEFT(L$2,4),Drivers!$C$23:$N$23,0))</f>
        <v>0</v>
      </c>
      <c r="M34" s="73">
        <f t="array" ref="M34">IFERROR((INDEX(Drivers!$B$5:$C$7,MATCH($C34,Drivers!$B$5:$B$7,0),2)))*M8*INDEX(Drivers!$C$24:$N$24,MATCH(LEFT(M$2,4),Drivers!$C$23:$N$23,0))</f>
        <v>0</v>
      </c>
      <c r="N34" s="73">
        <f t="array" ref="N34">IFERROR((INDEX(Drivers!$B$5:$C$7,MATCH($C34,Drivers!$B$5:$B$7,0),2)))*N8*INDEX(Drivers!$C$24:$N$24,MATCH(LEFT(N$2,4),Drivers!$C$23:$N$23,0))</f>
        <v>0</v>
      </c>
      <c r="O34" s="73">
        <f t="array" ref="O34">IFERROR((INDEX(Drivers!$B$5:$C$7,MATCH($C34,Drivers!$B$5:$B$7,0),2)))*O8*INDEX(Drivers!$C$24:$N$24,MATCH(LEFT(O$2,4),Drivers!$C$23:$N$23,0))</f>
        <v>0</v>
      </c>
      <c r="P34" s="73">
        <f t="array" ref="P34">IFERROR((INDEX(Drivers!$B$5:$C$7,MATCH($C34,Drivers!$B$5:$B$7,0),2)))*P8*INDEX(Drivers!$C$24:$N$24,MATCH(LEFT(P$2,4),Drivers!$C$23:$N$23,0))</f>
        <v>0</v>
      </c>
      <c r="Q34" s="73">
        <f t="array" ref="Q34">IFERROR((INDEX(Drivers!$B$5:$C$7,MATCH($C34,Drivers!$B$5:$B$7,0),2)))*Q8*INDEX(Drivers!$C$24:$N$24,MATCH(LEFT(Q$2,4),Drivers!$C$23:$N$23,0))</f>
        <v>0</v>
      </c>
      <c r="R34" s="73">
        <f t="array" ref="R34">IFERROR((INDEX(Drivers!$B$5:$C$7,MATCH($C34,Drivers!$B$5:$B$7,0),2)))*R8*INDEX(Drivers!$C$24:$N$24,MATCH(LEFT(R$2,4),Drivers!$C$23:$N$23,0))</f>
        <v>0</v>
      </c>
      <c r="S34" s="73">
        <f t="array" ref="S34">IFERROR((INDEX(Drivers!$B$5:$C$7,MATCH($C34,Drivers!$B$5:$B$7,0),2)))*S8*INDEX(Drivers!$C$24:$N$24,MATCH(LEFT(S$2,4),Drivers!$C$23:$N$23,0))</f>
        <v>0</v>
      </c>
      <c r="T34" s="73">
        <f t="array" ref="T34">IFERROR((INDEX(Drivers!$B$5:$C$7,MATCH($C34,Drivers!$B$5:$B$7,0),2)))*T8*INDEX(Drivers!$C$24:$N$24,MATCH(LEFT(T$2,4),Drivers!$C$23:$N$23,0))</f>
        <v>0</v>
      </c>
      <c r="U34" s="73">
        <f t="array" ref="U34">IFERROR((INDEX(Drivers!$B$5:$C$7,MATCH($C34,Drivers!$B$5:$B$7,0),2)))*U8*INDEX(Drivers!$C$24:$N$24,MATCH(LEFT(U$2,4),Drivers!$C$23:$N$23,0))</f>
        <v>0</v>
      </c>
      <c r="V34" s="73">
        <f t="array" ref="V34">IFERROR((INDEX(Drivers!$B$5:$C$7,MATCH($C34,Drivers!$B$5:$B$7,0),2)))*V8*INDEX(Drivers!$C$24:$N$24,MATCH(LEFT(V$2,4),Drivers!$C$23:$N$23,0))</f>
        <v>0</v>
      </c>
      <c r="W34" s="73">
        <f t="array" ref="W34">IFERROR((INDEX(Drivers!$B$5:$C$7,MATCH($C34,Drivers!$B$5:$B$7,0),2)))*W8*INDEX(Drivers!$C$24:$N$24,MATCH(LEFT(W$2,4),Drivers!$C$23:$N$23,0))</f>
        <v>0</v>
      </c>
      <c r="X34" s="73">
        <f t="array" ref="X34">IFERROR((INDEX(Drivers!$B$5:$C$7,MATCH($C34,Drivers!$B$5:$B$7,0),2)))*X8*INDEX(Drivers!$C$24:$N$24,MATCH(LEFT(X$2,4),Drivers!$C$23:$N$23,0))</f>
        <v>0</v>
      </c>
      <c r="Y34" s="73">
        <f t="array" ref="Y34">IFERROR((INDEX(Drivers!$B$5:$C$7,MATCH($C34,Drivers!$B$5:$B$7,0),2)))*Y8*INDEX(Drivers!$C$24:$N$24,MATCH(LEFT(Y$2,4),Drivers!$C$23:$N$23,0))</f>
        <v>0</v>
      </c>
      <c r="Z34" s="73">
        <f t="array" ref="Z34">IFERROR((INDEX(Drivers!$B$5:$C$7,MATCH($C34,Drivers!$B$5:$B$7,0),2)))*Z8*INDEX(Drivers!$C$24:$N$24,MATCH(LEFT(Z$2,4),Drivers!$C$23:$N$23,0))</f>
        <v>0</v>
      </c>
      <c r="AA34" s="73">
        <f t="array" ref="AA34">IFERROR((INDEX(Drivers!$B$5:$C$7,MATCH($C34,Drivers!$B$5:$B$7,0),2)))*AA8*INDEX(Drivers!$C$24:$N$24,MATCH(LEFT(AA$2,4),Drivers!$C$23:$N$23,0))</f>
        <v>0</v>
      </c>
      <c r="AB34" s="73">
        <f t="array" ref="AB34">IFERROR((INDEX(Drivers!$B$5:$C$7,MATCH($C34,Drivers!$B$5:$B$7,0),2)))*AB8*INDEX(Drivers!$C$24:$N$24,MATCH(LEFT(AB$2,4),Drivers!$C$23:$N$23,0))</f>
        <v>0</v>
      </c>
      <c r="AC34" s="73">
        <f t="array" ref="AC34">IFERROR((INDEX(Drivers!$B$5:$C$7,MATCH($C34,Drivers!$B$5:$B$7,0),2)))*AC8*INDEX(Drivers!$C$24:$N$24,MATCH(LEFT(AC$2,4),Drivers!$C$23:$N$23,0))</f>
        <v>0</v>
      </c>
      <c r="AD34" s="73">
        <f t="array" ref="AD34">IFERROR((INDEX(Drivers!$B$5:$C$7,MATCH($C34,Drivers!$B$5:$B$7,0),2)))*AD8*INDEX(Drivers!$C$24:$N$24,MATCH(LEFT(AD$2,4),Drivers!$C$23:$N$23,0))</f>
        <v>0</v>
      </c>
    </row>
    <row r="35" ht="15.75" customHeight="1">
      <c r="A35" s="46"/>
      <c r="B35" s="46" t="str">
        <f t="shared" ref="B35:E35" si="11">B9</f>
        <v>SecretCFO</v>
      </c>
      <c r="C35" s="46" t="str">
        <f t="shared" si="11"/>
        <v>Account Executives - Mid Market</v>
      </c>
      <c r="D35" s="71">
        <f t="shared" si="11"/>
        <v>44713</v>
      </c>
      <c r="E35" s="72" t="str">
        <f t="shared" si="11"/>
        <v>1/0/00</v>
      </c>
      <c r="F35" s="46"/>
      <c r="G35" s="73">
        <f t="array" ref="G35">IFERROR((INDEX(Drivers!$B$5:$C$7,MATCH($C35,Drivers!$B$5:$B$7,0),2)))*G9*INDEX(Drivers!$C$24:$N$24,MATCH(LEFT(G$2,4),Drivers!$C$23:$N$23,0))</f>
        <v>36000</v>
      </c>
      <c r="H35" s="73">
        <f t="array" ref="H35">IFERROR((INDEX(Drivers!$B$5:$C$7,MATCH($C35,Drivers!$B$5:$B$7,0),2)))*H9*INDEX(Drivers!$C$24:$N$24,MATCH(LEFT(H$2,4),Drivers!$C$23:$N$23,0))</f>
        <v>36000</v>
      </c>
      <c r="I35" s="73">
        <f t="array" ref="I35">IFERROR((INDEX(Drivers!$B$5:$C$7,MATCH($C35,Drivers!$B$5:$B$7,0),2)))*I9*INDEX(Drivers!$C$24:$N$24,MATCH(LEFT(I$2,4),Drivers!$C$23:$N$23,0))</f>
        <v>48000</v>
      </c>
      <c r="J35" s="73">
        <f t="array" ref="J35">IFERROR((INDEX(Drivers!$B$5:$C$7,MATCH($C35,Drivers!$B$5:$B$7,0),2)))*J9*INDEX(Drivers!$C$24:$N$24,MATCH(LEFT(J$2,4),Drivers!$C$23:$N$23,0))</f>
        <v>36000</v>
      </c>
      <c r="K35" s="73">
        <f t="array" ref="K35">IFERROR((INDEX(Drivers!$B$5:$C$7,MATCH($C35,Drivers!$B$5:$B$7,0),2)))*K9*INDEX(Drivers!$C$24:$N$24,MATCH(LEFT(K$2,4),Drivers!$C$23:$N$23,0))</f>
        <v>36000</v>
      </c>
      <c r="L35" s="73">
        <f t="array" ref="L35">IFERROR((INDEX(Drivers!$B$5:$C$7,MATCH($C35,Drivers!$B$5:$B$7,0),2)))*L9*INDEX(Drivers!$C$24:$N$24,MATCH(LEFT(L$2,4),Drivers!$C$23:$N$23,0))</f>
        <v>48000</v>
      </c>
      <c r="M35" s="73">
        <f t="array" ref="M35">IFERROR((INDEX(Drivers!$B$5:$C$7,MATCH($C35,Drivers!$B$5:$B$7,0),2)))*M9*INDEX(Drivers!$C$24:$N$24,MATCH(LEFT(M$2,4),Drivers!$C$23:$N$23,0))</f>
        <v>45000</v>
      </c>
      <c r="N35" s="73">
        <f t="array" ref="N35">IFERROR((INDEX(Drivers!$B$5:$C$7,MATCH($C35,Drivers!$B$5:$B$7,0),2)))*N9*INDEX(Drivers!$C$24:$N$24,MATCH(LEFT(N$2,4),Drivers!$C$23:$N$23,0))</f>
        <v>45000</v>
      </c>
      <c r="O35" s="73">
        <f t="array" ref="O35">IFERROR((INDEX(Drivers!$B$5:$C$7,MATCH($C35,Drivers!$B$5:$B$7,0),2)))*O9*INDEX(Drivers!$C$24:$N$24,MATCH(LEFT(O$2,4),Drivers!$C$23:$N$23,0))</f>
        <v>60000</v>
      </c>
      <c r="P35" s="73">
        <f t="array" ref="P35">IFERROR((INDEX(Drivers!$B$5:$C$7,MATCH($C35,Drivers!$B$5:$B$7,0),2)))*P9*INDEX(Drivers!$C$24:$N$24,MATCH(LEFT(P$2,4),Drivers!$C$23:$N$23,0))</f>
        <v>63000</v>
      </c>
      <c r="Q35" s="73">
        <f t="array" ref="Q35">IFERROR((INDEX(Drivers!$B$5:$C$7,MATCH($C35,Drivers!$B$5:$B$7,0),2)))*Q9*INDEX(Drivers!$C$24:$N$24,MATCH(LEFT(Q$2,4),Drivers!$C$23:$N$23,0))</f>
        <v>63000</v>
      </c>
      <c r="R35" s="73">
        <f t="array" ref="R35">IFERROR((INDEX(Drivers!$B$5:$C$7,MATCH($C35,Drivers!$B$5:$B$7,0),2)))*R9*INDEX(Drivers!$C$24:$N$24,MATCH(LEFT(R$2,4),Drivers!$C$23:$N$23,0))</f>
        <v>84000</v>
      </c>
      <c r="S35" s="73">
        <f t="array" ref="S35">IFERROR((INDEX(Drivers!$B$5:$C$7,MATCH($C35,Drivers!$B$5:$B$7,0),2)))*S9*INDEX(Drivers!$C$24:$N$24,MATCH(LEFT(S$2,4),Drivers!$C$23:$N$23,0))</f>
        <v>36000</v>
      </c>
      <c r="T35" s="73">
        <f t="array" ref="T35">IFERROR((INDEX(Drivers!$B$5:$C$7,MATCH($C35,Drivers!$B$5:$B$7,0),2)))*T9*INDEX(Drivers!$C$24:$N$24,MATCH(LEFT(T$2,4),Drivers!$C$23:$N$23,0))</f>
        <v>36000</v>
      </c>
      <c r="U35" s="73">
        <f t="array" ref="U35">IFERROR((INDEX(Drivers!$B$5:$C$7,MATCH($C35,Drivers!$B$5:$B$7,0),2)))*U9*INDEX(Drivers!$C$24:$N$24,MATCH(LEFT(U$2,4),Drivers!$C$23:$N$23,0))</f>
        <v>48000</v>
      </c>
      <c r="V35" s="73">
        <f t="array" ref="V35">IFERROR((INDEX(Drivers!$B$5:$C$7,MATCH($C35,Drivers!$B$5:$B$7,0),2)))*V9*INDEX(Drivers!$C$24:$N$24,MATCH(LEFT(V$2,4),Drivers!$C$23:$N$23,0))</f>
        <v>36000</v>
      </c>
      <c r="W35" s="73">
        <f t="array" ref="W35">IFERROR((INDEX(Drivers!$B$5:$C$7,MATCH($C35,Drivers!$B$5:$B$7,0),2)))*W9*INDEX(Drivers!$C$24:$N$24,MATCH(LEFT(W$2,4),Drivers!$C$23:$N$23,0))</f>
        <v>36000</v>
      </c>
      <c r="X35" s="73">
        <f t="array" ref="X35">IFERROR((INDEX(Drivers!$B$5:$C$7,MATCH($C35,Drivers!$B$5:$B$7,0),2)))*X9*INDEX(Drivers!$C$24:$N$24,MATCH(LEFT(X$2,4),Drivers!$C$23:$N$23,0))</f>
        <v>48000</v>
      </c>
      <c r="Y35" s="73">
        <f t="array" ref="Y35">IFERROR((INDEX(Drivers!$B$5:$C$7,MATCH($C35,Drivers!$B$5:$B$7,0),2)))*Y9*INDEX(Drivers!$C$24:$N$24,MATCH(LEFT(Y$2,4),Drivers!$C$23:$N$23,0))</f>
        <v>45000</v>
      </c>
      <c r="Z35" s="73">
        <f t="array" ref="Z35">IFERROR((INDEX(Drivers!$B$5:$C$7,MATCH($C35,Drivers!$B$5:$B$7,0),2)))*Z9*INDEX(Drivers!$C$24:$N$24,MATCH(LEFT(Z$2,4),Drivers!$C$23:$N$23,0))</f>
        <v>45000</v>
      </c>
      <c r="AA35" s="73">
        <f t="array" ref="AA35">IFERROR((INDEX(Drivers!$B$5:$C$7,MATCH($C35,Drivers!$B$5:$B$7,0),2)))*AA9*INDEX(Drivers!$C$24:$N$24,MATCH(LEFT(AA$2,4),Drivers!$C$23:$N$23,0))</f>
        <v>60000</v>
      </c>
      <c r="AB35" s="73">
        <f t="array" ref="AB35">IFERROR((INDEX(Drivers!$B$5:$C$7,MATCH($C35,Drivers!$B$5:$B$7,0),2)))*AB9*INDEX(Drivers!$C$24:$N$24,MATCH(LEFT(AB$2,4),Drivers!$C$23:$N$23,0))</f>
        <v>63000</v>
      </c>
      <c r="AC35" s="73">
        <f t="array" ref="AC35">IFERROR((INDEX(Drivers!$B$5:$C$7,MATCH($C35,Drivers!$B$5:$B$7,0),2)))*AC9*INDEX(Drivers!$C$24:$N$24,MATCH(LEFT(AC$2,4),Drivers!$C$23:$N$23,0))</f>
        <v>63000</v>
      </c>
      <c r="AD35" s="73">
        <f t="array" ref="AD35">IFERROR((INDEX(Drivers!$B$5:$C$7,MATCH($C35,Drivers!$B$5:$B$7,0),2)))*AD9*INDEX(Drivers!$C$24:$N$24,MATCH(LEFT(AD$2,4),Drivers!$C$23:$N$23,0))</f>
        <v>84000</v>
      </c>
    </row>
    <row r="36" ht="15.75" customHeight="1">
      <c r="A36" s="46"/>
      <c r="B36" s="46" t="str">
        <f t="shared" ref="B36:E36" si="12">B10</f>
        <v>Dory</v>
      </c>
      <c r="C36" s="46" t="str">
        <f t="shared" si="12"/>
        <v>Account Executives - Mid Market</v>
      </c>
      <c r="D36" s="71">
        <f t="shared" si="12"/>
        <v>44470</v>
      </c>
      <c r="E36" s="71">
        <f t="shared" si="12"/>
        <v>45444</v>
      </c>
      <c r="F36" s="46"/>
      <c r="G36" s="73">
        <f t="array" ref="G36">IFERROR((INDEX(Drivers!$B$5:$C$7,MATCH($C36,Drivers!$B$5:$B$7,0),2)))*G10*INDEX(Drivers!$C$24:$N$24,MATCH(LEFT(G$2,4),Drivers!$C$23:$N$23,0))</f>
        <v>36000</v>
      </c>
      <c r="H36" s="73">
        <f t="array" ref="H36">IFERROR((INDEX(Drivers!$B$5:$C$7,MATCH($C36,Drivers!$B$5:$B$7,0),2)))*H10*INDEX(Drivers!$C$24:$N$24,MATCH(LEFT(H$2,4),Drivers!$C$23:$N$23,0))</f>
        <v>36000</v>
      </c>
      <c r="I36" s="73">
        <f t="array" ref="I36">IFERROR((INDEX(Drivers!$B$5:$C$7,MATCH($C36,Drivers!$B$5:$B$7,0),2)))*I10*INDEX(Drivers!$C$24:$N$24,MATCH(LEFT(I$2,4),Drivers!$C$23:$N$23,0))</f>
        <v>48000</v>
      </c>
      <c r="J36" s="73">
        <f t="array" ref="J36">IFERROR((INDEX(Drivers!$B$5:$C$7,MATCH($C36,Drivers!$B$5:$B$7,0),2)))*J10*INDEX(Drivers!$C$24:$N$24,MATCH(LEFT(J$2,4),Drivers!$C$23:$N$23,0))</f>
        <v>36000</v>
      </c>
      <c r="K36" s="73">
        <f t="array" ref="K36">IFERROR((INDEX(Drivers!$B$5:$C$7,MATCH($C36,Drivers!$B$5:$B$7,0),2)))*K10*INDEX(Drivers!$C$24:$N$24,MATCH(LEFT(K$2,4),Drivers!$C$23:$N$23,0))</f>
        <v>0</v>
      </c>
      <c r="L36" s="73">
        <f t="array" ref="L36">IFERROR((INDEX(Drivers!$B$5:$C$7,MATCH($C36,Drivers!$B$5:$B$7,0),2)))*L10*INDEX(Drivers!$C$24:$N$24,MATCH(LEFT(L$2,4),Drivers!$C$23:$N$23,0))</f>
        <v>0</v>
      </c>
      <c r="M36" s="73">
        <f t="array" ref="M36">IFERROR((INDEX(Drivers!$B$5:$C$7,MATCH($C36,Drivers!$B$5:$B$7,0),2)))*M10*INDEX(Drivers!$C$24:$N$24,MATCH(LEFT(M$2,4),Drivers!$C$23:$N$23,0))</f>
        <v>0</v>
      </c>
      <c r="N36" s="73">
        <f t="array" ref="N36">IFERROR((INDEX(Drivers!$B$5:$C$7,MATCH($C36,Drivers!$B$5:$B$7,0),2)))*N10*INDEX(Drivers!$C$24:$N$24,MATCH(LEFT(N$2,4),Drivers!$C$23:$N$23,0))</f>
        <v>0</v>
      </c>
      <c r="O36" s="73">
        <f t="array" ref="O36">IFERROR((INDEX(Drivers!$B$5:$C$7,MATCH($C36,Drivers!$B$5:$B$7,0),2)))*O10*INDEX(Drivers!$C$24:$N$24,MATCH(LEFT(O$2,4),Drivers!$C$23:$N$23,0))</f>
        <v>0</v>
      </c>
      <c r="P36" s="73">
        <f t="array" ref="P36">IFERROR((INDEX(Drivers!$B$5:$C$7,MATCH($C36,Drivers!$B$5:$B$7,0),2)))*P10*INDEX(Drivers!$C$24:$N$24,MATCH(LEFT(P$2,4),Drivers!$C$23:$N$23,0))</f>
        <v>0</v>
      </c>
      <c r="Q36" s="73">
        <f t="array" ref="Q36">IFERROR((INDEX(Drivers!$B$5:$C$7,MATCH($C36,Drivers!$B$5:$B$7,0),2)))*Q10*INDEX(Drivers!$C$24:$N$24,MATCH(LEFT(Q$2,4),Drivers!$C$23:$N$23,0))</f>
        <v>0</v>
      </c>
      <c r="R36" s="73">
        <f t="array" ref="R36">IFERROR((INDEX(Drivers!$B$5:$C$7,MATCH($C36,Drivers!$B$5:$B$7,0),2)))*R10*INDEX(Drivers!$C$24:$N$24,MATCH(LEFT(R$2,4),Drivers!$C$23:$N$23,0))</f>
        <v>0</v>
      </c>
      <c r="S36" s="73">
        <f t="array" ref="S36">IFERROR((INDEX(Drivers!$B$5:$C$7,MATCH($C36,Drivers!$B$5:$B$7,0),2)))*S10*INDEX(Drivers!$C$24:$N$24,MATCH(LEFT(S$2,4),Drivers!$C$23:$N$23,0))</f>
        <v>0</v>
      </c>
      <c r="T36" s="73">
        <f t="array" ref="T36">IFERROR((INDEX(Drivers!$B$5:$C$7,MATCH($C36,Drivers!$B$5:$B$7,0),2)))*T10*INDEX(Drivers!$C$24:$N$24,MATCH(LEFT(T$2,4),Drivers!$C$23:$N$23,0))</f>
        <v>0</v>
      </c>
      <c r="U36" s="73">
        <f t="array" ref="U36">IFERROR((INDEX(Drivers!$B$5:$C$7,MATCH($C36,Drivers!$B$5:$B$7,0),2)))*U10*INDEX(Drivers!$C$24:$N$24,MATCH(LEFT(U$2,4),Drivers!$C$23:$N$23,0))</f>
        <v>0</v>
      </c>
      <c r="V36" s="73">
        <f t="array" ref="V36">IFERROR((INDEX(Drivers!$B$5:$C$7,MATCH($C36,Drivers!$B$5:$B$7,0),2)))*V10*INDEX(Drivers!$C$24:$N$24,MATCH(LEFT(V$2,4),Drivers!$C$23:$N$23,0))</f>
        <v>0</v>
      </c>
      <c r="W36" s="73">
        <f t="array" ref="W36">IFERROR((INDEX(Drivers!$B$5:$C$7,MATCH($C36,Drivers!$B$5:$B$7,0),2)))*W10*INDEX(Drivers!$C$24:$N$24,MATCH(LEFT(W$2,4),Drivers!$C$23:$N$23,0))</f>
        <v>0</v>
      </c>
      <c r="X36" s="73">
        <f t="array" ref="X36">IFERROR((INDEX(Drivers!$B$5:$C$7,MATCH($C36,Drivers!$B$5:$B$7,0),2)))*X10*INDEX(Drivers!$C$24:$N$24,MATCH(LEFT(X$2,4),Drivers!$C$23:$N$23,0))</f>
        <v>0</v>
      </c>
      <c r="Y36" s="73">
        <f t="array" ref="Y36">IFERROR((INDEX(Drivers!$B$5:$C$7,MATCH($C36,Drivers!$B$5:$B$7,0),2)))*Y10*INDEX(Drivers!$C$24:$N$24,MATCH(LEFT(Y$2,4),Drivers!$C$23:$N$23,0))</f>
        <v>0</v>
      </c>
      <c r="Z36" s="73">
        <f t="array" ref="Z36">IFERROR((INDEX(Drivers!$B$5:$C$7,MATCH($C36,Drivers!$B$5:$B$7,0),2)))*Z10*INDEX(Drivers!$C$24:$N$24,MATCH(LEFT(Z$2,4),Drivers!$C$23:$N$23,0))</f>
        <v>0</v>
      </c>
      <c r="AA36" s="73">
        <f t="array" ref="AA36">IFERROR((INDEX(Drivers!$B$5:$C$7,MATCH($C36,Drivers!$B$5:$B$7,0),2)))*AA10*INDEX(Drivers!$C$24:$N$24,MATCH(LEFT(AA$2,4),Drivers!$C$23:$N$23,0))</f>
        <v>0</v>
      </c>
      <c r="AB36" s="73">
        <f t="array" ref="AB36">IFERROR((INDEX(Drivers!$B$5:$C$7,MATCH($C36,Drivers!$B$5:$B$7,0),2)))*AB10*INDEX(Drivers!$C$24:$N$24,MATCH(LEFT(AB$2,4),Drivers!$C$23:$N$23,0))</f>
        <v>0</v>
      </c>
      <c r="AC36" s="73">
        <f t="array" ref="AC36">IFERROR((INDEX(Drivers!$B$5:$C$7,MATCH($C36,Drivers!$B$5:$B$7,0),2)))*AC10*INDEX(Drivers!$C$24:$N$24,MATCH(LEFT(AC$2,4),Drivers!$C$23:$N$23,0))</f>
        <v>0</v>
      </c>
      <c r="AD36" s="73">
        <f t="array" ref="AD36">IFERROR((INDEX(Drivers!$B$5:$C$7,MATCH($C36,Drivers!$B$5:$B$7,0),2)))*AD10*INDEX(Drivers!$C$24:$N$24,MATCH(LEFT(AD$2,4),Drivers!$C$23:$N$23,0))</f>
        <v>0</v>
      </c>
    </row>
    <row r="37" ht="15.75" customHeight="1">
      <c r="A37" s="46"/>
      <c r="B37" s="46" t="str">
        <f t="shared" ref="B37:E37" si="13">B11</f>
        <v>Brittany</v>
      </c>
      <c r="C37" s="46" t="str">
        <f t="shared" si="13"/>
        <v>Account Executives - Mid Market</v>
      </c>
      <c r="D37" s="71">
        <f t="shared" si="13"/>
        <v>45261</v>
      </c>
      <c r="E37" s="72" t="str">
        <f t="shared" si="13"/>
        <v>1/0/00</v>
      </c>
      <c r="F37" s="46"/>
      <c r="G37" s="73">
        <f t="array" ref="G37">IFERROR((INDEX(Drivers!$B$5:$C$7,MATCH($C37,Drivers!$B$5:$B$7,0),2)))*G11*INDEX(Drivers!$C$24:$N$24,MATCH(LEFT(G$2,4),Drivers!$C$23:$N$23,0))</f>
        <v>0</v>
      </c>
      <c r="H37" s="73">
        <f t="array" ref="H37">IFERROR((INDEX(Drivers!$B$5:$C$7,MATCH($C37,Drivers!$B$5:$B$7,0),2)))*H11*INDEX(Drivers!$C$24:$N$24,MATCH(LEFT(H$2,4),Drivers!$C$23:$N$23,0))</f>
        <v>9000</v>
      </c>
      <c r="I37" s="73">
        <f t="array" ref="I37">IFERROR((INDEX(Drivers!$B$5:$C$7,MATCH($C37,Drivers!$B$5:$B$7,0),2)))*I11*INDEX(Drivers!$C$24:$N$24,MATCH(LEFT(I$2,4),Drivers!$C$23:$N$23,0))</f>
        <v>24000</v>
      </c>
      <c r="J37" s="73">
        <f t="array" ref="J37">IFERROR((INDEX(Drivers!$B$5:$C$7,MATCH($C37,Drivers!$B$5:$B$7,0),2)))*J11*INDEX(Drivers!$C$24:$N$24,MATCH(LEFT(J$2,4),Drivers!$C$23:$N$23,0))</f>
        <v>27000</v>
      </c>
      <c r="K37" s="73">
        <f t="array" ref="K37">IFERROR((INDEX(Drivers!$B$5:$C$7,MATCH($C37,Drivers!$B$5:$B$7,0),2)))*K11*INDEX(Drivers!$C$24:$N$24,MATCH(LEFT(K$2,4),Drivers!$C$23:$N$23,0))</f>
        <v>36000</v>
      </c>
      <c r="L37" s="73">
        <f t="array" ref="L37">IFERROR((INDEX(Drivers!$B$5:$C$7,MATCH($C37,Drivers!$B$5:$B$7,0),2)))*L11*INDEX(Drivers!$C$24:$N$24,MATCH(LEFT(L$2,4),Drivers!$C$23:$N$23,0))</f>
        <v>48000</v>
      </c>
      <c r="M37" s="73">
        <f t="array" ref="M37">IFERROR((INDEX(Drivers!$B$5:$C$7,MATCH($C37,Drivers!$B$5:$B$7,0),2)))*M11*INDEX(Drivers!$C$24:$N$24,MATCH(LEFT(M$2,4),Drivers!$C$23:$N$23,0))</f>
        <v>45000</v>
      </c>
      <c r="N37" s="73">
        <f t="array" ref="N37">IFERROR((INDEX(Drivers!$B$5:$C$7,MATCH($C37,Drivers!$B$5:$B$7,0),2)))*N11*INDEX(Drivers!$C$24:$N$24,MATCH(LEFT(N$2,4),Drivers!$C$23:$N$23,0))</f>
        <v>45000</v>
      </c>
      <c r="O37" s="73">
        <f t="array" ref="O37">IFERROR((INDEX(Drivers!$B$5:$C$7,MATCH($C37,Drivers!$B$5:$B$7,0),2)))*O11*INDEX(Drivers!$C$24:$N$24,MATCH(LEFT(O$2,4),Drivers!$C$23:$N$23,0))</f>
        <v>60000</v>
      </c>
      <c r="P37" s="73">
        <f t="array" ref="P37">IFERROR((INDEX(Drivers!$B$5:$C$7,MATCH($C37,Drivers!$B$5:$B$7,0),2)))*P11*INDEX(Drivers!$C$24:$N$24,MATCH(LEFT(P$2,4),Drivers!$C$23:$N$23,0))</f>
        <v>63000</v>
      </c>
      <c r="Q37" s="73">
        <f t="array" ref="Q37">IFERROR((INDEX(Drivers!$B$5:$C$7,MATCH($C37,Drivers!$B$5:$B$7,0),2)))*Q11*INDEX(Drivers!$C$24:$N$24,MATCH(LEFT(Q$2,4),Drivers!$C$23:$N$23,0))</f>
        <v>63000</v>
      </c>
      <c r="R37" s="73">
        <f t="array" ref="R37">IFERROR((INDEX(Drivers!$B$5:$C$7,MATCH($C37,Drivers!$B$5:$B$7,0),2)))*R11*INDEX(Drivers!$C$24:$N$24,MATCH(LEFT(R$2,4),Drivers!$C$23:$N$23,0))</f>
        <v>84000</v>
      </c>
      <c r="S37" s="73">
        <f t="array" ref="S37">IFERROR((INDEX(Drivers!$B$5:$C$7,MATCH($C37,Drivers!$B$5:$B$7,0),2)))*S11*INDEX(Drivers!$C$24:$N$24,MATCH(LEFT(S$2,4),Drivers!$C$23:$N$23,0))</f>
        <v>36000</v>
      </c>
      <c r="T37" s="73">
        <f t="array" ref="T37">IFERROR((INDEX(Drivers!$B$5:$C$7,MATCH($C37,Drivers!$B$5:$B$7,0),2)))*T11*INDEX(Drivers!$C$24:$N$24,MATCH(LEFT(T$2,4),Drivers!$C$23:$N$23,0))</f>
        <v>36000</v>
      </c>
      <c r="U37" s="73">
        <f t="array" ref="U37">IFERROR((INDEX(Drivers!$B$5:$C$7,MATCH($C37,Drivers!$B$5:$B$7,0),2)))*U11*INDEX(Drivers!$C$24:$N$24,MATCH(LEFT(U$2,4),Drivers!$C$23:$N$23,0))</f>
        <v>48000</v>
      </c>
      <c r="V37" s="73">
        <f t="array" ref="V37">IFERROR((INDEX(Drivers!$B$5:$C$7,MATCH($C37,Drivers!$B$5:$B$7,0),2)))*V11*INDEX(Drivers!$C$24:$N$24,MATCH(LEFT(V$2,4),Drivers!$C$23:$N$23,0))</f>
        <v>36000</v>
      </c>
      <c r="W37" s="73">
        <f t="array" ref="W37">IFERROR((INDEX(Drivers!$B$5:$C$7,MATCH($C37,Drivers!$B$5:$B$7,0),2)))*W11*INDEX(Drivers!$C$24:$N$24,MATCH(LEFT(W$2,4),Drivers!$C$23:$N$23,0))</f>
        <v>36000</v>
      </c>
      <c r="X37" s="73">
        <f t="array" ref="X37">IFERROR((INDEX(Drivers!$B$5:$C$7,MATCH($C37,Drivers!$B$5:$B$7,0),2)))*X11*INDEX(Drivers!$C$24:$N$24,MATCH(LEFT(X$2,4),Drivers!$C$23:$N$23,0))</f>
        <v>48000</v>
      </c>
      <c r="Y37" s="73">
        <f t="array" ref="Y37">IFERROR((INDEX(Drivers!$B$5:$C$7,MATCH($C37,Drivers!$B$5:$B$7,0),2)))*Y11*INDEX(Drivers!$C$24:$N$24,MATCH(LEFT(Y$2,4),Drivers!$C$23:$N$23,0))</f>
        <v>45000</v>
      </c>
      <c r="Z37" s="73">
        <f t="array" ref="Z37">IFERROR((INDEX(Drivers!$B$5:$C$7,MATCH($C37,Drivers!$B$5:$B$7,0),2)))*Z11*INDEX(Drivers!$C$24:$N$24,MATCH(LEFT(Z$2,4),Drivers!$C$23:$N$23,0))</f>
        <v>45000</v>
      </c>
      <c r="AA37" s="73">
        <f t="array" ref="AA37">IFERROR((INDEX(Drivers!$B$5:$C$7,MATCH($C37,Drivers!$B$5:$B$7,0),2)))*AA11*INDEX(Drivers!$C$24:$N$24,MATCH(LEFT(AA$2,4),Drivers!$C$23:$N$23,0))</f>
        <v>60000</v>
      </c>
      <c r="AB37" s="73">
        <f t="array" ref="AB37">IFERROR((INDEX(Drivers!$B$5:$C$7,MATCH($C37,Drivers!$B$5:$B$7,0),2)))*AB11*INDEX(Drivers!$C$24:$N$24,MATCH(LEFT(AB$2,4),Drivers!$C$23:$N$23,0))</f>
        <v>63000</v>
      </c>
      <c r="AC37" s="73">
        <f t="array" ref="AC37">IFERROR((INDEX(Drivers!$B$5:$C$7,MATCH($C37,Drivers!$B$5:$B$7,0),2)))*AC11*INDEX(Drivers!$C$24:$N$24,MATCH(LEFT(AC$2,4),Drivers!$C$23:$N$23,0))</f>
        <v>63000</v>
      </c>
      <c r="AD37" s="73">
        <f t="array" ref="AD37">IFERROR((INDEX(Drivers!$B$5:$C$7,MATCH($C37,Drivers!$B$5:$B$7,0),2)))*AD11*INDEX(Drivers!$C$24:$N$24,MATCH(LEFT(AD$2,4),Drivers!$C$23:$N$23,0))</f>
        <v>84000</v>
      </c>
    </row>
    <row r="38" ht="15.75" customHeight="1">
      <c r="A38" s="46"/>
      <c r="B38" s="46" t="str">
        <f t="shared" ref="B38:E38" si="14">B12</f>
        <v>Dora the Explorer</v>
      </c>
      <c r="C38" s="46" t="str">
        <f t="shared" si="14"/>
        <v>Account Executives - Enterprise</v>
      </c>
      <c r="D38" s="71">
        <f t="shared" si="14"/>
        <v>45321</v>
      </c>
      <c r="E38" s="72" t="str">
        <f t="shared" si="14"/>
        <v>1/0/00</v>
      </c>
      <c r="F38" s="46"/>
      <c r="G38" s="73">
        <f t="array" ref="G38">IFERROR((INDEX(Drivers!$B$5:$C$7,MATCH($C38,Drivers!$B$5:$B$7,0),2)))*G12*INDEX(Drivers!$C$24:$N$24,MATCH(LEFT(G$2,4),Drivers!$C$23:$N$23,0))</f>
        <v>0</v>
      </c>
      <c r="H38" s="73">
        <f t="array" ref="H38">IFERROR((INDEX(Drivers!$B$5:$C$7,MATCH($C38,Drivers!$B$5:$B$7,0),2)))*H12*INDEX(Drivers!$C$24:$N$24,MATCH(LEFT(H$2,4),Drivers!$C$23:$N$23,0))</f>
        <v>0</v>
      </c>
      <c r="I38" s="73">
        <f t="array" ref="I38">IFERROR((INDEX(Drivers!$B$5:$C$7,MATCH($C38,Drivers!$B$5:$B$7,0),2)))*I12*INDEX(Drivers!$C$24:$N$24,MATCH(LEFT(I$2,4),Drivers!$C$23:$N$23,0))</f>
        <v>0</v>
      </c>
      <c r="J38" s="73">
        <f t="array" ref="J38">IFERROR((INDEX(Drivers!$B$5:$C$7,MATCH($C38,Drivers!$B$5:$B$7,0),2)))*J12*INDEX(Drivers!$C$24:$N$24,MATCH(LEFT(J$2,4),Drivers!$C$23:$N$23,0))</f>
        <v>18000</v>
      </c>
      <c r="K38" s="73">
        <f t="array" ref="K38">IFERROR((INDEX(Drivers!$B$5:$C$7,MATCH($C38,Drivers!$B$5:$B$7,0),2)))*K12*INDEX(Drivers!$C$24:$N$24,MATCH(LEFT(K$2,4),Drivers!$C$23:$N$23,0))</f>
        <v>36000</v>
      </c>
      <c r="L38" s="73">
        <f t="array" ref="L38">IFERROR((INDEX(Drivers!$B$5:$C$7,MATCH($C38,Drivers!$B$5:$B$7,0),2)))*L12*INDEX(Drivers!$C$24:$N$24,MATCH(LEFT(L$2,4),Drivers!$C$23:$N$23,0))</f>
        <v>48000</v>
      </c>
      <c r="M38" s="73">
        <f t="array" ref="M38">IFERROR((INDEX(Drivers!$B$5:$C$7,MATCH($C38,Drivers!$B$5:$B$7,0),2)))*M12*INDEX(Drivers!$C$24:$N$24,MATCH(LEFT(M$2,4),Drivers!$C$23:$N$23,0))</f>
        <v>67500</v>
      </c>
      <c r="N38" s="73">
        <f t="array" ref="N38">IFERROR((INDEX(Drivers!$B$5:$C$7,MATCH($C38,Drivers!$B$5:$B$7,0),2)))*N12*INDEX(Drivers!$C$24:$N$24,MATCH(LEFT(N$2,4),Drivers!$C$23:$N$23,0))</f>
        <v>67500</v>
      </c>
      <c r="O38" s="73">
        <f t="array" ref="O38">IFERROR((INDEX(Drivers!$B$5:$C$7,MATCH($C38,Drivers!$B$5:$B$7,0),2)))*O12*INDEX(Drivers!$C$24:$N$24,MATCH(LEFT(O$2,4),Drivers!$C$23:$N$23,0))</f>
        <v>120000</v>
      </c>
      <c r="P38" s="73">
        <f t="array" ref="P38">IFERROR((INDEX(Drivers!$B$5:$C$7,MATCH($C38,Drivers!$B$5:$B$7,0),2)))*P12*INDEX(Drivers!$C$24:$N$24,MATCH(LEFT(P$2,4),Drivers!$C$23:$N$23,0))</f>
        <v>126000</v>
      </c>
      <c r="Q38" s="73">
        <f t="array" ref="Q38">IFERROR((INDEX(Drivers!$B$5:$C$7,MATCH($C38,Drivers!$B$5:$B$7,0),2)))*Q12*INDEX(Drivers!$C$24:$N$24,MATCH(LEFT(Q$2,4),Drivers!$C$23:$N$23,0))</f>
        <v>126000</v>
      </c>
      <c r="R38" s="73">
        <f t="array" ref="R38">IFERROR((INDEX(Drivers!$B$5:$C$7,MATCH($C38,Drivers!$B$5:$B$7,0),2)))*R12*INDEX(Drivers!$C$24:$N$24,MATCH(LEFT(R$2,4),Drivers!$C$23:$N$23,0))</f>
        <v>168000</v>
      </c>
      <c r="S38" s="73">
        <f t="array" ref="S38">IFERROR((INDEX(Drivers!$B$5:$C$7,MATCH($C38,Drivers!$B$5:$B$7,0),2)))*S12*INDEX(Drivers!$C$24:$N$24,MATCH(LEFT(S$2,4),Drivers!$C$23:$N$23,0))</f>
        <v>72000</v>
      </c>
      <c r="T38" s="73">
        <f t="array" ref="T38">IFERROR((INDEX(Drivers!$B$5:$C$7,MATCH($C38,Drivers!$B$5:$B$7,0),2)))*T12*INDEX(Drivers!$C$24:$N$24,MATCH(LEFT(T$2,4),Drivers!$C$23:$N$23,0))</f>
        <v>72000</v>
      </c>
      <c r="U38" s="73">
        <f t="array" ref="U38">IFERROR((INDEX(Drivers!$B$5:$C$7,MATCH($C38,Drivers!$B$5:$B$7,0),2)))*U12*INDEX(Drivers!$C$24:$N$24,MATCH(LEFT(U$2,4),Drivers!$C$23:$N$23,0))</f>
        <v>96000</v>
      </c>
      <c r="V38" s="73">
        <f t="array" ref="V38">IFERROR((INDEX(Drivers!$B$5:$C$7,MATCH($C38,Drivers!$B$5:$B$7,0),2)))*V12*INDEX(Drivers!$C$24:$N$24,MATCH(LEFT(V$2,4),Drivers!$C$23:$N$23,0))</f>
        <v>72000</v>
      </c>
      <c r="W38" s="73">
        <f t="array" ref="W38">IFERROR((INDEX(Drivers!$B$5:$C$7,MATCH($C38,Drivers!$B$5:$B$7,0),2)))*W12*INDEX(Drivers!$C$24:$N$24,MATCH(LEFT(W$2,4),Drivers!$C$23:$N$23,0))</f>
        <v>72000</v>
      </c>
      <c r="X38" s="73">
        <f t="array" ref="X38">IFERROR((INDEX(Drivers!$B$5:$C$7,MATCH($C38,Drivers!$B$5:$B$7,0),2)))*X12*INDEX(Drivers!$C$24:$N$24,MATCH(LEFT(X$2,4),Drivers!$C$23:$N$23,0))</f>
        <v>96000</v>
      </c>
      <c r="Y38" s="73">
        <f t="array" ref="Y38">IFERROR((INDEX(Drivers!$B$5:$C$7,MATCH($C38,Drivers!$B$5:$B$7,0),2)))*Y12*INDEX(Drivers!$C$24:$N$24,MATCH(LEFT(Y$2,4),Drivers!$C$23:$N$23,0))</f>
        <v>90000</v>
      </c>
      <c r="Z38" s="73">
        <f t="array" ref="Z38">IFERROR((INDEX(Drivers!$B$5:$C$7,MATCH($C38,Drivers!$B$5:$B$7,0),2)))*Z12*INDEX(Drivers!$C$24:$N$24,MATCH(LEFT(Z$2,4),Drivers!$C$23:$N$23,0))</f>
        <v>90000</v>
      </c>
      <c r="AA38" s="73">
        <f t="array" ref="AA38">IFERROR((INDEX(Drivers!$B$5:$C$7,MATCH($C38,Drivers!$B$5:$B$7,0),2)))*AA12*INDEX(Drivers!$C$24:$N$24,MATCH(LEFT(AA$2,4),Drivers!$C$23:$N$23,0))</f>
        <v>120000</v>
      </c>
      <c r="AB38" s="73">
        <f t="array" ref="AB38">IFERROR((INDEX(Drivers!$B$5:$C$7,MATCH($C38,Drivers!$B$5:$B$7,0),2)))*AB12*INDEX(Drivers!$C$24:$N$24,MATCH(LEFT(AB$2,4),Drivers!$C$23:$N$23,0))</f>
        <v>126000</v>
      </c>
      <c r="AC38" s="73">
        <f t="array" ref="AC38">IFERROR((INDEX(Drivers!$B$5:$C$7,MATCH($C38,Drivers!$B$5:$B$7,0),2)))*AC12*INDEX(Drivers!$C$24:$N$24,MATCH(LEFT(AC$2,4),Drivers!$C$23:$N$23,0))</f>
        <v>126000</v>
      </c>
      <c r="AD38" s="73">
        <f t="array" ref="AD38">IFERROR((INDEX(Drivers!$B$5:$C$7,MATCH($C38,Drivers!$B$5:$B$7,0),2)))*AD12*INDEX(Drivers!$C$24:$N$24,MATCH(LEFT(AD$2,4),Drivers!$C$23:$N$23,0))</f>
        <v>168000</v>
      </c>
    </row>
    <row r="39" ht="15.75" customHeight="1">
      <c r="A39" s="46"/>
      <c r="B39" s="46" t="str">
        <f t="shared" ref="B39:E39" si="15">B13</f>
        <v>Elsa</v>
      </c>
      <c r="C39" s="46" t="str">
        <f t="shared" si="15"/>
        <v>Account Executives - Mid Market</v>
      </c>
      <c r="D39" s="71">
        <f t="shared" si="15"/>
        <v>45078</v>
      </c>
      <c r="E39" s="72" t="str">
        <f t="shared" si="15"/>
        <v>1/0/00</v>
      </c>
      <c r="F39" s="46"/>
      <c r="G39" s="73">
        <f t="array" ref="G39">IFERROR((INDEX(Drivers!$B$5:$C$7,MATCH($C39,Drivers!$B$5:$B$7,0),2)))*G13*INDEX(Drivers!$C$24:$N$24,MATCH(LEFT(G$2,4),Drivers!$C$23:$N$23,0))</f>
        <v>36000</v>
      </c>
      <c r="H39" s="73">
        <f t="array" ref="H39">IFERROR((INDEX(Drivers!$B$5:$C$7,MATCH($C39,Drivers!$B$5:$B$7,0),2)))*H13*INDEX(Drivers!$C$24:$N$24,MATCH(LEFT(H$2,4),Drivers!$C$23:$N$23,0))</f>
        <v>36000</v>
      </c>
      <c r="I39" s="73">
        <f t="array" ref="I39">IFERROR((INDEX(Drivers!$B$5:$C$7,MATCH($C39,Drivers!$B$5:$B$7,0),2)))*I13*INDEX(Drivers!$C$24:$N$24,MATCH(LEFT(I$2,4),Drivers!$C$23:$N$23,0))</f>
        <v>48000</v>
      </c>
      <c r="J39" s="73">
        <f t="array" ref="J39">IFERROR((INDEX(Drivers!$B$5:$C$7,MATCH($C39,Drivers!$B$5:$B$7,0),2)))*J13*INDEX(Drivers!$C$24:$N$24,MATCH(LEFT(J$2,4),Drivers!$C$23:$N$23,0))</f>
        <v>36000</v>
      </c>
      <c r="K39" s="73">
        <f t="array" ref="K39">IFERROR((INDEX(Drivers!$B$5:$C$7,MATCH($C39,Drivers!$B$5:$B$7,0),2)))*K13*INDEX(Drivers!$C$24:$N$24,MATCH(LEFT(K$2,4),Drivers!$C$23:$N$23,0))</f>
        <v>36000</v>
      </c>
      <c r="L39" s="73">
        <f t="array" ref="L39">IFERROR((INDEX(Drivers!$B$5:$C$7,MATCH($C39,Drivers!$B$5:$B$7,0),2)))*L13*INDEX(Drivers!$C$24:$N$24,MATCH(LEFT(L$2,4),Drivers!$C$23:$N$23,0))</f>
        <v>48000</v>
      </c>
      <c r="M39" s="73">
        <f t="array" ref="M39">IFERROR((INDEX(Drivers!$B$5:$C$7,MATCH($C39,Drivers!$B$5:$B$7,0),2)))*M13*INDEX(Drivers!$C$24:$N$24,MATCH(LEFT(M$2,4),Drivers!$C$23:$N$23,0))</f>
        <v>45000</v>
      </c>
      <c r="N39" s="73">
        <f t="array" ref="N39">IFERROR((INDEX(Drivers!$B$5:$C$7,MATCH($C39,Drivers!$B$5:$B$7,0),2)))*N13*INDEX(Drivers!$C$24:$N$24,MATCH(LEFT(N$2,4),Drivers!$C$23:$N$23,0))</f>
        <v>45000</v>
      </c>
      <c r="O39" s="73">
        <f t="array" ref="O39">IFERROR((INDEX(Drivers!$B$5:$C$7,MATCH($C39,Drivers!$B$5:$B$7,0),2)))*O13*INDEX(Drivers!$C$24:$N$24,MATCH(LEFT(O$2,4),Drivers!$C$23:$N$23,0))</f>
        <v>60000</v>
      </c>
      <c r="P39" s="73">
        <f t="array" ref="P39">IFERROR((INDEX(Drivers!$B$5:$C$7,MATCH($C39,Drivers!$B$5:$B$7,0),2)))*P13*INDEX(Drivers!$C$24:$N$24,MATCH(LEFT(P$2,4),Drivers!$C$23:$N$23,0))</f>
        <v>63000</v>
      </c>
      <c r="Q39" s="73">
        <f t="array" ref="Q39">IFERROR((INDEX(Drivers!$B$5:$C$7,MATCH($C39,Drivers!$B$5:$B$7,0),2)))*Q13*INDEX(Drivers!$C$24:$N$24,MATCH(LEFT(Q$2,4),Drivers!$C$23:$N$23,0))</f>
        <v>63000</v>
      </c>
      <c r="R39" s="73">
        <f t="array" ref="R39">IFERROR((INDEX(Drivers!$B$5:$C$7,MATCH($C39,Drivers!$B$5:$B$7,0),2)))*R13*INDEX(Drivers!$C$24:$N$24,MATCH(LEFT(R$2,4),Drivers!$C$23:$N$23,0))</f>
        <v>84000</v>
      </c>
      <c r="S39" s="73">
        <f t="array" ref="S39">IFERROR((INDEX(Drivers!$B$5:$C$7,MATCH($C39,Drivers!$B$5:$B$7,0),2)))*S13*INDEX(Drivers!$C$24:$N$24,MATCH(LEFT(S$2,4),Drivers!$C$23:$N$23,0))</f>
        <v>36000</v>
      </c>
      <c r="T39" s="73">
        <f t="array" ref="T39">IFERROR((INDEX(Drivers!$B$5:$C$7,MATCH($C39,Drivers!$B$5:$B$7,0),2)))*T13*INDEX(Drivers!$C$24:$N$24,MATCH(LEFT(T$2,4),Drivers!$C$23:$N$23,0))</f>
        <v>36000</v>
      </c>
      <c r="U39" s="73">
        <f t="array" ref="U39">IFERROR((INDEX(Drivers!$B$5:$C$7,MATCH($C39,Drivers!$B$5:$B$7,0),2)))*U13*INDEX(Drivers!$C$24:$N$24,MATCH(LEFT(U$2,4),Drivers!$C$23:$N$23,0))</f>
        <v>48000</v>
      </c>
      <c r="V39" s="73">
        <f t="array" ref="V39">IFERROR((INDEX(Drivers!$B$5:$C$7,MATCH($C39,Drivers!$B$5:$B$7,0),2)))*V13*INDEX(Drivers!$C$24:$N$24,MATCH(LEFT(V$2,4),Drivers!$C$23:$N$23,0))</f>
        <v>36000</v>
      </c>
      <c r="W39" s="73">
        <f t="array" ref="W39">IFERROR((INDEX(Drivers!$B$5:$C$7,MATCH($C39,Drivers!$B$5:$B$7,0),2)))*W13*INDEX(Drivers!$C$24:$N$24,MATCH(LEFT(W$2,4),Drivers!$C$23:$N$23,0))</f>
        <v>36000</v>
      </c>
      <c r="X39" s="73">
        <f t="array" ref="X39">IFERROR((INDEX(Drivers!$B$5:$C$7,MATCH($C39,Drivers!$B$5:$B$7,0),2)))*X13*INDEX(Drivers!$C$24:$N$24,MATCH(LEFT(X$2,4),Drivers!$C$23:$N$23,0))</f>
        <v>48000</v>
      </c>
      <c r="Y39" s="73">
        <f t="array" ref="Y39">IFERROR((INDEX(Drivers!$B$5:$C$7,MATCH($C39,Drivers!$B$5:$B$7,0),2)))*Y13*INDEX(Drivers!$C$24:$N$24,MATCH(LEFT(Y$2,4),Drivers!$C$23:$N$23,0))</f>
        <v>45000</v>
      </c>
      <c r="Z39" s="73">
        <f t="array" ref="Z39">IFERROR((INDEX(Drivers!$B$5:$C$7,MATCH($C39,Drivers!$B$5:$B$7,0),2)))*Z13*INDEX(Drivers!$C$24:$N$24,MATCH(LEFT(Z$2,4),Drivers!$C$23:$N$23,0))</f>
        <v>45000</v>
      </c>
      <c r="AA39" s="73">
        <f t="array" ref="AA39">IFERROR((INDEX(Drivers!$B$5:$C$7,MATCH($C39,Drivers!$B$5:$B$7,0),2)))*AA13*INDEX(Drivers!$C$24:$N$24,MATCH(LEFT(AA$2,4),Drivers!$C$23:$N$23,0))</f>
        <v>60000</v>
      </c>
      <c r="AB39" s="73">
        <f t="array" ref="AB39">IFERROR((INDEX(Drivers!$B$5:$C$7,MATCH($C39,Drivers!$B$5:$B$7,0),2)))*AB13*INDEX(Drivers!$C$24:$N$24,MATCH(LEFT(AB$2,4),Drivers!$C$23:$N$23,0))</f>
        <v>63000</v>
      </c>
      <c r="AC39" s="73">
        <f t="array" ref="AC39">IFERROR((INDEX(Drivers!$B$5:$C$7,MATCH($C39,Drivers!$B$5:$B$7,0),2)))*AC13*INDEX(Drivers!$C$24:$N$24,MATCH(LEFT(AC$2,4),Drivers!$C$23:$N$23,0))</f>
        <v>63000</v>
      </c>
      <c r="AD39" s="73">
        <f t="array" ref="AD39">IFERROR((INDEX(Drivers!$B$5:$C$7,MATCH($C39,Drivers!$B$5:$B$7,0),2)))*AD13*INDEX(Drivers!$C$24:$N$24,MATCH(LEFT(AD$2,4),Drivers!$C$23:$N$23,0))</f>
        <v>84000</v>
      </c>
    </row>
    <row r="40" ht="15.75" customHeight="1">
      <c r="A40" s="46"/>
      <c r="B40" s="46" t="str">
        <f t="shared" ref="B40:E40" si="16">B14</f>
        <v>Snow White</v>
      </c>
      <c r="C40" s="46" t="str">
        <f t="shared" si="16"/>
        <v>Account Executives - Enterprise</v>
      </c>
      <c r="D40" s="71">
        <f t="shared" si="16"/>
        <v>45200</v>
      </c>
      <c r="E40" s="72" t="str">
        <f t="shared" si="16"/>
        <v>1/0/00</v>
      </c>
      <c r="F40" s="46"/>
      <c r="G40" s="73">
        <f t="array" ref="G40">IFERROR((INDEX(Drivers!$B$5:$C$7,MATCH($C40,Drivers!$B$5:$B$7,0),2)))*G14*INDEX(Drivers!$C$24:$N$24,MATCH(LEFT(G$2,4),Drivers!$C$23:$N$23,0))</f>
        <v>18000</v>
      </c>
      <c r="H40" s="73">
        <f t="array" ref="H40">IFERROR((INDEX(Drivers!$B$5:$C$7,MATCH($C40,Drivers!$B$5:$B$7,0),2)))*H14*INDEX(Drivers!$C$24:$N$24,MATCH(LEFT(H$2,4),Drivers!$C$23:$N$23,0))</f>
        <v>36000</v>
      </c>
      <c r="I40" s="73">
        <f t="array" ref="I40">IFERROR((INDEX(Drivers!$B$5:$C$7,MATCH($C40,Drivers!$B$5:$B$7,0),2)))*I14*INDEX(Drivers!$C$24:$N$24,MATCH(LEFT(I$2,4),Drivers!$C$23:$N$23,0))</f>
        <v>48000</v>
      </c>
      <c r="J40" s="73">
        <f t="array" ref="J40">IFERROR((INDEX(Drivers!$B$5:$C$7,MATCH($C40,Drivers!$B$5:$B$7,0),2)))*J14*INDEX(Drivers!$C$24:$N$24,MATCH(LEFT(J$2,4),Drivers!$C$23:$N$23,0))</f>
        <v>54000</v>
      </c>
      <c r="K40" s="73">
        <f t="array" ref="K40">IFERROR((INDEX(Drivers!$B$5:$C$7,MATCH($C40,Drivers!$B$5:$B$7,0),2)))*K14*INDEX(Drivers!$C$24:$N$24,MATCH(LEFT(K$2,4),Drivers!$C$23:$N$23,0))</f>
        <v>54000</v>
      </c>
      <c r="L40" s="73">
        <f t="array" ref="L40">IFERROR((INDEX(Drivers!$B$5:$C$7,MATCH($C40,Drivers!$B$5:$B$7,0),2)))*L14*INDEX(Drivers!$C$24:$N$24,MATCH(LEFT(L$2,4),Drivers!$C$23:$N$23,0))</f>
        <v>96000</v>
      </c>
      <c r="M40" s="73">
        <f t="array" ref="M40">IFERROR((INDEX(Drivers!$B$5:$C$7,MATCH($C40,Drivers!$B$5:$B$7,0),2)))*M14*INDEX(Drivers!$C$24:$N$24,MATCH(LEFT(M$2,4),Drivers!$C$23:$N$23,0))</f>
        <v>90000</v>
      </c>
      <c r="N40" s="73">
        <f t="array" ref="N40">IFERROR((INDEX(Drivers!$B$5:$C$7,MATCH($C40,Drivers!$B$5:$B$7,0),2)))*N14*INDEX(Drivers!$C$24:$N$24,MATCH(LEFT(N$2,4),Drivers!$C$23:$N$23,0))</f>
        <v>90000</v>
      </c>
      <c r="O40" s="73">
        <f t="array" ref="O40">IFERROR((INDEX(Drivers!$B$5:$C$7,MATCH($C40,Drivers!$B$5:$B$7,0),2)))*O14*INDEX(Drivers!$C$24:$N$24,MATCH(LEFT(O$2,4),Drivers!$C$23:$N$23,0))</f>
        <v>120000</v>
      </c>
      <c r="P40" s="73">
        <f t="array" ref="P40">IFERROR((INDEX(Drivers!$B$5:$C$7,MATCH($C40,Drivers!$B$5:$B$7,0),2)))*P14*INDEX(Drivers!$C$24:$N$24,MATCH(LEFT(P$2,4),Drivers!$C$23:$N$23,0))</f>
        <v>126000</v>
      </c>
      <c r="Q40" s="73">
        <f t="array" ref="Q40">IFERROR((INDEX(Drivers!$B$5:$C$7,MATCH($C40,Drivers!$B$5:$B$7,0),2)))*Q14*INDEX(Drivers!$C$24:$N$24,MATCH(LEFT(Q$2,4),Drivers!$C$23:$N$23,0))</f>
        <v>126000</v>
      </c>
      <c r="R40" s="73">
        <f t="array" ref="R40">IFERROR((INDEX(Drivers!$B$5:$C$7,MATCH($C40,Drivers!$B$5:$B$7,0),2)))*R14*INDEX(Drivers!$C$24:$N$24,MATCH(LEFT(R$2,4),Drivers!$C$23:$N$23,0))</f>
        <v>168000</v>
      </c>
      <c r="S40" s="73">
        <f t="array" ref="S40">IFERROR((INDEX(Drivers!$B$5:$C$7,MATCH($C40,Drivers!$B$5:$B$7,0),2)))*S14*INDEX(Drivers!$C$24:$N$24,MATCH(LEFT(S$2,4),Drivers!$C$23:$N$23,0))</f>
        <v>72000</v>
      </c>
      <c r="T40" s="73">
        <f t="array" ref="T40">IFERROR((INDEX(Drivers!$B$5:$C$7,MATCH($C40,Drivers!$B$5:$B$7,0),2)))*T14*INDEX(Drivers!$C$24:$N$24,MATCH(LEFT(T$2,4),Drivers!$C$23:$N$23,0))</f>
        <v>72000</v>
      </c>
      <c r="U40" s="73">
        <f t="array" ref="U40">IFERROR((INDEX(Drivers!$B$5:$C$7,MATCH($C40,Drivers!$B$5:$B$7,0),2)))*U14*INDEX(Drivers!$C$24:$N$24,MATCH(LEFT(U$2,4),Drivers!$C$23:$N$23,0))</f>
        <v>96000</v>
      </c>
      <c r="V40" s="73">
        <f t="array" ref="V40">IFERROR((INDEX(Drivers!$B$5:$C$7,MATCH($C40,Drivers!$B$5:$B$7,0),2)))*V14*INDEX(Drivers!$C$24:$N$24,MATCH(LEFT(V$2,4),Drivers!$C$23:$N$23,0))</f>
        <v>72000</v>
      </c>
      <c r="W40" s="73">
        <f t="array" ref="W40">IFERROR((INDEX(Drivers!$B$5:$C$7,MATCH($C40,Drivers!$B$5:$B$7,0),2)))*W14*INDEX(Drivers!$C$24:$N$24,MATCH(LEFT(W$2,4),Drivers!$C$23:$N$23,0))</f>
        <v>72000</v>
      </c>
      <c r="X40" s="73">
        <f t="array" ref="X40">IFERROR((INDEX(Drivers!$B$5:$C$7,MATCH($C40,Drivers!$B$5:$B$7,0),2)))*X14*INDEX(Drivers!$C$24:$N$24,MATCH(LEFT(X$2,4),Drivers!$C$23:$N$23,0))</f>
        <v>96000</v>
      </c>
      <c r="Y40" s="73">
        <f t="array" ref="Y40">IFERROR((INDEX(Drivers!$B$5:$C$7,MATCH($C40,Drivers!$B$5:$B$7,0),2)))*Y14*INDEX(Drivers!$C$24:$N$24,MATCH(LEFT(Y$2,4),Drivers!$C$23:$N$23,0))</f>
        <v>90000</v>
      </c>
      <c r="Z40" s="73">
        <f t="array" ref="Z40">IFERROR((INDEX(Drivers!$B$5:$C$7,MATCH($C40,Drivers!$B$5:$B$7,0),2)))*Z14*INDEX(Drivers!$C$24:$N$24,MATCH(LEFT(Z$2,4),Drivers!$C$23:$N$23,0))</f>
        <v>90000</v>
      </c>
      <c r="AA40" s="73">
        <f t="array" ref="AA40">IFERROR((INDEX(Drivers!$B$5:$C$7,MATCH($C40,Drivers!$B$5:$B$7,0),2)))*AA14*INDEX(Drivers!$C$24:$N$24,MATCH(LEFT(AA$2,4),Drivers!$C$23:$N$23,0))</f>
        <v>120000</v>
      </c>
      <c r="AB40" s="73">
        <f t="array" ref="AB40">IFERROR((INDEX(Drivers!$B$5:$C$7,MATCH($C40,Drivers!$B$5:$B$7,0),2)))*AB14*INDEX(Drivers!$C$24:$N$24,MATCH(LEFT(AB$2,4),Drivers!$C$23:$N$23,0))</f>
        <v>126000</v>
      </c>
      <c r="AC40" s="73">
        <f t="array" ref="AC40">IFERROR((INDEX(Drivers!$B$5:$C$7,MATCH($C40,Drivers!$B$5:$B$7,0),2)))*AC14*INDEX(Drivers!$C$24:$N$24,MATCH(LEFT(AC$2,4),Drivers!$C$23:$N$23,0))</f>
        <v>126000</v>
      </c>
      <c r="AD40" s="73">
        <f t="array" ref="AD40">IFERROR((INDEX(Drivers!$B$5:$C$7,MATCH($C40,Drivers!$B$5:$B$7,0),2)))*AD14*INDEX(Drivers!$C$24:$N$24,MATCH(LEFT(AD$2,4),Drivers!$C$23:$N$23,0))</f>
        <v>168000</v>
      </c>
    </row>
    <row r="41" ht="15.75" customHeight="1">
      <c r="A41" s="46"/>
      <c r="B41" s="46" t="str">
        <f t="shared" ref="B41:E41" si="17">B15</f>
        <v/>
      </c>
      <c r="C41" s="46" t="str">
        <f t="shared" si="17"/>
        <v>Account Executives - Mid Market</v>
      </c>
      <c r="D41" s="71">
        <f t="shared" si="17"/>
        <v>45261</v>
      </c>
      <c r="E41" s="72" t="str">
        <f t="shared" si="17"/>
        <v>1/0/00</v>
      </c>
      <c r="F41" s="46"/>
      <c r="G41" s="73">
        <f t="array" ref="G41">IFERROR((INDEX(Drivers!$B$5:$C$7,MATCH($C41,Drivers!$B$5:$B$7,0),2)))*G15*INDEX(Drivers!$C$24:$N$24,MATCH(LEFT(G$2,4),Drivers!$C$23:$N$23,0))</f>
        <v>0</v>
      </c>
      <c r="H41" s="73">
        <f t="array" ref="H41">IFERROR((INDEX(Drivers!$B$5:$C$7,MATCH($C41,Drivers!$B$5:$B$7,0),2)))*H15*INDEX(Drivers!$C$24:$N$24,MATCH(LEFT(H$2,4),Drivers!$C$23:$N$23,0))</f>
        <v>9000</v>
      </c>
      <c r="I41" s="73">
        <f t="array" ref="I41">IFERROR((INDEX(Drivers!$B$5:$C$7,MATCH($C41,Drivers!$B$5:$B$7,0),2)))*I15*INDEX(Drivers!$C$24:$N$24,MATCH(LEFT(I$2,4),Drivers!$C$23:$N$23,0))</f>
        <v>24000</v>
      </c>
      <c r="J41" s="73">
        <f t="array" ref="J41">IFERROR((INDEX(Drivers!$B$5:$C$7,MATCH($C41,Drivers!$B$5:$B$7,0),2)))*J15*INDEX(Drivers!$C$24:$N$24,MATCH(LEFT(J$2,4),Drivers!$C$23:$N$23,0))</f>
        <v>27000</v>
      </c>
      <c r="K41" s="73">
        <f t="array" ref="K41">IFERROR((INDEX(Drivers!$B$5:$C$7,MATCH($C41,Drivers!$B$5:$B$7,0),2)))*K15*INDEX(Drivers!$C$24:$N$24,MATCH(LEFT(K$2,4),Drivers!$C$23:$N$23,0))</f>
        <v>36000</v>
      </c>
      <c r="L41" s="73">
        <f t="array" ref="L41">IFERROR((INDEX(Drivers!$B$5:$C$7,MATCH($C41,Drivers!$B$5:$B$7,0),2)))*L15*INDEX(Drivers!$C$24:$N$24,MATCH(LEFT(L$2,4),Drivers!$C$23:$N$23,0))</f>
        <v>48000</v>
      </c>
      <c r="M41" s="73">
        <f t="array" ref="M41">IFERROR((INDEX(Drivers!$B$5:$C$7,MATCH($C41,Drivers!$B$5:$B$7,0),2)))*M15*INDEX(Drivers!$C$24:$N$24,MATCH(LEFT(M$2,4),Drivers!$C$23:$N$23,0))</f>
        <v>45000</v>
      </c>
      <c r="N41" s="73">
        <f t="array" ref="N41">IFERROR((INDEX(Drivers!$B$5:$C$7,MATCH($C41,Drivers!$B$5:$B$7,0),2)))*N15*INDEX(Drivers!$C$24:$N$24,MATCH(LEFT(N$2,4),Drivers!$C$23:$N$23,0))</f>
        <v>45000</v>
      </c>
      <c r="O41" s="73">
        <f t="array" ref="O41">IFERROR((INDEX(Drivers!$B$5:$C$7,MATCH($C41,Drivers!$B$5:$B$7,0),2)))*O15*INDEX(Drivers!$C$24:$N$24,MATCH(LEFT(O$2,4),Drivers!$C$23:$N$23,0))</f>
        <v>60000</v>
      </c>
      <c r="P41" s="73">
        <f t="array" ref="P41">IFERROR((INDEX(Drivers!$B$5:$C$7,MATCH($C41,Drivers!$B$5:$B$7,0),2)))*P15*INDEX(Drivers!$C$24:$N$24,MATCH(LEFT(P$2,4),Drivers!$C$23:$N$23,0))</f>
        <v>63000</v>
      </c>
      <c r="Q41" s="73">
        <f t="array" ref="Q41">IFERROR((INDEX(Drivers!$B$5:$C$7,MATCH($C41,Drivers!$B$5:$B$7,0),2)))*Q15*INDEX(Drivers!$C$24:$N$24,MATCH(LEFT(Q$2,4),Drivers!$C$23:$N$23,0))</f>
        <v>63000</v>
      </c>
      <c r="R41" s="73">
        <f t="array" ref="R41">IFERROR((INDEX(Drivers!$B$5:$C$7,MATCH($C41,Drivers!$B$5:$B$7,0),2)))*R15*INDEX(Drivers!$C$24:$N$24,MATCH(LEFT(R$2,4),Drivers!$C$23:$N$23,0))</f>
        <v>84000</v>
      </c>
      <c r="S41" s="73">
        <f t="array" ref="S41">IFERROR((INDEX(Drivers!$B$5:$C$7,MATCH($C41,Drivers!$B$5:$B$7,0),2)))*S15*INDEX(Drivers!$C$24:$N$24,MATCH(LEFT(S$2,4),Drivers!$C$23:$N$23,0))</f>
        <v>36000</v>
      </c>
      <c r="T41" s="73">
        <f t="array" ref="T41">IFERROR((INDEX(Drivers!$B$5:$C$7,MATCH($C41,Drivers!$B$5:$B$7,0),2)))*T15*INDEX(Drivers!$C$24:$N$24,MATCH(LEFT(T$2,4),Drivers!$C$23:$N$23,0))</f>
        <v>36000</v>
      </c>
      <c r="U41" s="73">
        <f t="array" ref="U41">IFERROR((INDEX(Drivers!$B$5:$C$7,MATCH($C41,Drivers!$B$5:$B$7,0),2)))*U15*INDEX(Drivers!$C$24:$N$24,MATCH(LEFT(U$2,4),Drivers!$C$23:$N$23,0))</f>
        <v>48000</v>
      </c>
      <c r="V41" s="73">
        <f t="array" ref="V41">IFERROR((INDEX(Drivers!$B$5:$C$7,MATCH($C41,Drivers!$B$5:$B$7,0),2)))*V15*INDEX(Drivers!$C$24:$N$24,MATCH(LEFT(V$2,4),Drivers!$C$23:$N$23,0))</f>
        <v>36000</v>
      </c>
      <c r="W41" s="73">
        <f t="array" ref="W41">IFERROR((INDEX(Drivers!$B$5:$C$7,MATCH($C41,Drivers!$B$5:$B$7,0),2)))*W15*INDEX(Drivers!$C$24:$N$24,MATCH(LEFT(W$2,4),Drivers!$C$23:$N$23,0))</f>
        <v>36000</v>
      </c>
      <c r="X41" s="73">
        <f t="array" ref="X41">IFERROR((INDEX(Drivers!$B$5:$C$7,MATCH($C41,Drivers!$B$5:$B$7,0),2)))*X15*INDEX(Drivers!$C$24:$N$24,MATCH(LEFT(X$2,4),Drivers!$C$23:$N$23,0))</f>
        <v>48000</v>
      </c>
      <c r="Y41" s="73">
        <f t="array" ref="Y41">IFERROR((INDEX(Drivers!$B$5:$C$7,MATCH($C41,Drivers!$B$5:$B$7,0),2)))*Y15*INDEX(Drivers!$C$24:$N$24,MATCH(LEFT(Y$2,4),Drivers!$C$23:$N$23,0))</f>
        <v>45000</v>
      </c>
      <c r="Z41" s="73">
        <f t="array" ref="Z41">IFERROR((INDEX(Drivers!$B$5:$C$7,MATCH($C41,Drivers!$B$5:$B$7,0),2)))*Z15*INDEX(Drivers!$C$24:$N$24,MATCH(LEFT(Z$2,4),Drivers!$C$23:$N$23,0))</f>
        <v>45000</v>
      </c>
      <c r="AA41" s="73">
        <f t="array" ref="AA41">IFERROR((INDEX(Drivers!$B$5:$C$7,MATCH($C41,Drivers!$B$5:$B$7,0),2)))*AA15*INDEX(Drivers!$C$24:$N$24,MATCH(LEFT(AA$2,4),Drivers!$C$23:$N$23,0))</f>
        <v>60000</v>
      </c>
      <c r="AB41" s="73">
        <f t="array" ref="AB41">IFERROR((INDEX(Drivers!$B$5:$C$7,MATCH($C41,Drivers!$B$5:$B$7,0),2)))*AB15*INDEX(Drivers!$C$24:$N$24,MATCH(LEFT(AB$2,4),Drivers!$C$23:$N$23,0))</f>
        <v>63000</v>
      </c>
      <c r="AC41" s="73">
        <f t="array" ref="AC41">IFERROR((INDEX(Drivers!$B$5:$C$7,MATCH($C41,Drivers!$B$5:$B$7,0),2)))*AC15*INDEX(Drivers!$C$24:$N$24,MATCH(LEFT(AC$2,4),Drivers!$C$23:$N$23,0))</f>
        <v>63000</v>
      </c>
      <c r="AD41" s="73">
        <f t="array" ref="AD41">IFERROR((INDEX(Drivers!$B$5:$C$7,MATCH($C41,Drivers!$B$5:$B$7,0),2)))*AD15*INDEX(Drivers!$C$24:$N$24,MATCH(LEFT(AD$2,4),Drivers!$C$23:$N$23,0))</f>
        <v>84000</v>
      </c>
    </row>
    <row r="42" ht="15.75" customHeight="1">
      <c r="A42" s="46"/>
      <c r="B42" s="46" t="str">
        <f t="shared" ref="B42:E42" si="18">B16</f>
        <v/>
      </c>
      <c r="C42" s="46" t="str">
        <f t="shared" si="18"/>
        <v>Account Executives - Mid Market</v>
      </c>
      <c r="D42" s="71">
        <f t="shared" si="18"/>
        <v>45321</v>
      </c>
      <c r="E42" s="72" t="str">
        <f t="shared" si="18"/>
        <v>1/0/00</v>
      </c>
      <c r="F42" s="46"/>
      <c r="G42" s="73">
        <f t="array" ref="G42">IFERROR((INDEX(Drivers!$B$5:$C$7,MATCH($C42,Drivers!$B$5:$B$7,0),2)))*G16*INDEX(Drivers!$C$24:$N$24,MATCH(LEFT(G$2,4),Drivers!$C$23:$N$23,0))</f>
        <v>0</v>
      </c>
      <c r="H42" s="73">
        <f t="array" ref="H42">IFERROR((INDEX(Drivers!$B$5:$C$7,MATCH($C42,Drivers!$B$5:$B$7,0),2)))*H16*INDEX(Drivers!$C$24:$N$24,MATCH(LEFT(H$2,4),Drivers!$C$23:$N$23,0))</f>
        <v>0</v>
      </c>
      <c r="I42" s="73">
        <f t="array" ref="I42">IFERROR((INDEX(Drivers!$B$5:$C$7,MATCH($C42,Drivers!$B$5:$B$7,0),2)))*I16*INDEX(Drivers!$C$24:$N$24,MATCH(LEFT(I$2,4),Drivers!$C$23:$N$23,0))</f>
        <v>12000</v>
      </c>
      <c r="J42" s="73">
        <f t="array" ref="J42">IFERROR((INDEX(Drivers!$B$5:$C$7,MATCH($C42,Drivers!$B$5:$B$7,0),2)))*J16*INDEX(Drivers!$C$24:$N$24,MATCH(LEFT(J$2,4),Drivers!$C$23:$N$23,0))</f>
        <v>18000</v>
      </c>
      <c r="K42" s="73">
        <f t="array" ref="K42">IFERROR((INDEX(Drivers!$B$5:$C$7,MATCH($C42,Drivers!$B$5:$B$7,0),2)))*K16*INDEX(Drivers!$C$24:$N$24,MATCH(LEFT(K$2,4),Drivers!$C$23:$N$23,0))</f>
        <v>27000</v>
      </c>
      <c r="L42" s="73">
        <f t="array" ref="L42">IFERROR((INDEX(Drivers!$B$5:$C$7,MATCH($C42,Drivers!$B$5:$B$7,0),2)))*L16*INDEX(Drivers!$C$24:$N$24,MATCH(LEFT(L$2,4),Drivers!$C$23:$N$23,0))</f>
        <v>48000</v>
      </c>
      <c r="M42" s="73">
        <f t="array" ref="M42">IFERROR((INDEX(Drivers!$B$5:$C$7,MATCH($C42,Drivers!$B$5:$B$7,0),2)))*M16*INDEX(Drivers!$C$24:$N$24,MATCH(LEFT(M$2,4),Drivers!$C$23:$N$23,0))</f>
        <v>45000</v>
      </c>
      <c r="N42" s="73">
        <f t="array" ref="N42">IFERROR((INDEX(Drivers!$B$5:$C$7,MATCH($C42,Drivers!$B$5:$B$7,0),2)))*N16*INDEX(Drivers!$C$24:$N$24,MATCH(LEFT(N$2,4),Drivers!$C$23:$N$23,0))</f>
        <v>45000</v>
      </c>
      <c r="O42" s="73">
        <f t="array" ref="O42">IFERROR((INDEX(Drivers!$B$5:$C$7,MATCH($C42,Drivers!$B$5:$B$7,0),2)))*O16*INDEX(Drivers!$C$24:$N$24,MATCH(LEFT(O$2,4),Drivers!$C$23:$N$23,0))</f>
        <v>60000</v>
      </c>
      <c r="P42" s="73">
        <f t="array" ref="P42">IFERROR((INDEX(Drivers!$B$5:$C$7,MATCH($C42,Drivers!$B$5:$B$7,0),2)))*P16*INDEX(Drivers!$C$24:$N$24,MATCH(LEFT(P$2,4),Drivers!$C$23:$N$23,0))</f>
        <v>63000</v>
      </c>
      <c r="Q42" s="73">
        <f t="array" ref="Q42">IFERROR((INDEX(Drivers!$B$5:$C$7,MATCH($C42,Drivers!$B$5:$B$7,0),2)))*Q16*INDEX(Drivers!$C$24:$N$24,MATCH(LEFT(Q$2,4),Drivers!$C$23:$N$23,0))</f>
        <v>63000</v>
      </c>
      <c r="R42" s="73">
        <f t="array" ref="R42">IFERROR((INDEX(Drivers!$B$5:$C$7,MATCH($C42,Drivers!$B$5:$B$7,0),2)))*R16*INDEX(Drivers!$C$24:$N$24,MATCH(LEFT(R$2,4),Drivers!$C$23:$N$23,0))</f>
        <v>84000</v>
      </c>
      <c r="S42" s="73">
        <f t="array" ref="S42">IFERROR((INDEX(Drivers!$B$5:$C$7,MATCH($C42,Drivers!$B$5:$B$7,0),2)))*S16*INDEX(Drivers!$C$24:$N$24,MATCH(LEFT(S$2,4),Drivers!$C$23:$N$23,0))</f>
        <v>36000</v>
      </c>
      <c r="T42" s="73">
        <f t="array" ref="T42">IFERROR((INDEX(Drivers!$B$5:$C$7,MATCH($C42,Drivers!$B$5:$B$7,0),2)))*T16*INDEX(Drivers!$C$24:$N$24,MATCH(LEFT(T$2,4),Drivers!$C$23:$N$23,0))</f>
        <v>36000</v>
      </c>
      <c r="U42" s="73">
        <f t="array" ref="U42">IFERROR((INDEX(Drivers!$B$5:$C$7,MATCH($C42,Drivers!$B$5:$B$7,0),2)))*U16*INDEX(Drivers!$C$24:$N$24,MATCH(LEFT(U$2,4),Drivers!$C$23:$N$23,0))</f>
        <v>48000</v>
      </c>
      <c r="V42" s="73">
        <f t="array" ref="V42">IFERROR((INDEX(Drivers!$B$5:$C$7,MATCH($C42,Drivers!$B$5:$B$7,0),2)))*V16*INDEX(Drivers!$C$24:$N$24,MATCH(LEFT(V$2,4),Drivers!$C$23:$N$23,0))</f>
        <v>36000</v>
      </c>
      <c r="W42" s="73">
        <f t="array" ref="W42">IFERROR((INDEX(Drivers!$B$5:$C$7,MATCH($C42,Drivers!$B$5:$B$7,0),2)))*W16*INDEX(Drivers!$C$24:$N$24,MATCH(LEFT(W$2,4),Drivers!$C$23:$N$23,0))</f>
        <v>36000</v>
      </c>
      <c r="X42" s="73">
        <f t="array" ref="X42">IFERROR((INDEX(Drivers!$B$5:$C$7,MATCH($C42,Drivers!$B$5:$B$7,0),2)))*X16*INDEX(Drivers!$C$24:$N$24,MATCH(LEFT(X$2,4),Drivers!$C$23:$N$23,0))</f>
        <v>48000</v>
      </c>
      <c r="Y42" s="73">
        <f t="array" ref="Y42">IFERROR((INDEX(Drivers!$B$5:$C$7,MATCH($C42,Drivers!$B$5:$B$7,0),2)))*Y16*INDEX(Drivers!$C$24:$N$24,MATCH(LEFT(Y$2,4),Drivers!$C$23:$N$23,0))</f>
        <v>45000</v>
      </c>
      <c r="Z42" s="73">
        <f t="array" ref="Z42">IFERROR((INDEX(Drivers!$B$5:$C$7,MATCH($C42,Drivers!$B$5:$B$7,0),2)))*Z16*INDEX(Drivers!$C$24:$N$24,MATCH(LEFT(Z$2,4),Drivers!$C$23:$N$23,0))</f>
        <v>45000</v>
      </c>
      <c r="AA42" s="73">
        <f t="array" ref="AA42">IFERROR((INDEX(Drivers!$B$5:$C$7,MATCH($C42,Drivers!$B$5:$B$7,0),2)))*AA16*INDEX(Drivers!$C$24:$N$24,MATCH(LEFT(AA$2,4),Drivers!$C$23:$N$23,0))</f>
        <v>60000</v>
      </c>
      <c r="AB42" s="73">
        <f t="array" ref="AB42">IFERROR((INDEX(Drivers!$B$5:$C$7,MATCH($C42,Drivers!$B$5:$B$7,0),2)))*AB16*INDEX(Drivers!$C$24:$N$24,MATCH(LEFT(AB$2,4),Drivers!$C$23:$N$23,0))</f>
        <v>63000</v>
      </c>
      <c r="AC42" s="73">
        <f t="array" ref="AC42">IFERROR((INDEX(Drivers!$B$5:$C$7,MATCH($C42,Drivers!$B$5:$B$7,0),2)))*AC16*INDEX(Drivers!$C$24:$N$24,MATCH(LEFT(AC$2,4),Drivers!$C$23:$N$23,0))</f>
        <v>63000</v>
      </c>
      <c r="AD42" s="73">
        <f t="array" ref="AD42">IFERROR((INDEX(Drivers!$B$5:$C$7,MATCH($C42,Drivers!$B$5:$B$7,0),2)))*AD16*INDEX(Drivers!$C$24:$N$24,MATCH(LEFT(AD$2,4),Drivers!$C$23:$N$23,0))</f>
        <v>84000</v>
      </c>
    </row>
    <row r="43" ht="15.75" customHeight="1">
      <c r="A43" s="46"/>
      <c r="B43" s="46" t="str">
        <f t="shared" ref="B43:E43" si="19">B17</f>
        <v/>
      </c>
      <c r="C43" s="46" t="str">
        <f t="shared" si="19"/>
        <v>Account Executives - SMB</v>
      </c>
      <c r="D43" s="71">
        <f t="shared" si="19"/>
        <v>45337</v>
      </c>
      <c r="E43" s="72" t="str">
        <f t="shared" si="19"/>
        <v>1/0/00</v>
      </c>
      <c r="F43" s="46"/>
      <c r="G43" s="73">
        <f t="array" ref="G43">IFERROR((INDEX(Drivers!$B$5:$C$7,MATCH($C43,Drivers!$B$5:$B$7,0),2)))*G17*INDEX(Drivers!$C$24:$N$24,MATCH(LEFT(G$2,4),Drivers!$C$23:$N$23,0))</f>
        <v>0</v>
      </c>
      <c r="H43" s="73">
        <f t="array" ref="H43">IFERROR((INDEX(Drivers!$B$5:$C$7,MATCH($C43,Drivers!$B$5:$B$7,0),2)))*H17*INDEX(Drivers!$C$24:$N$24,MATCH(LEFT(H$2,4),Drivers!$C$23:$N$23,0))</f>
        <v>0</v>
      </c>
      <c r="I43" s="73">
        <f t="array" ref="I43">IFERROR((INDEX(Drivers!$B$5:$C$7,MATCH($C43,Drivers!$B$5:$B$7,0),2)))*I17*INDEX(Drivers!$C$24:$N$24,MATCH(LEFT(I$2,4),Drivers!$C$23:$N$23,0))</f>
        <v>0</v>
      </c>
      <c r="J43" s="73">
        <f t="array" ref="J43">IFERROR((INDEX(Drivers!$B$5:$C$7,MATCH($C43,Drivers!$B$5:$B$7,0),2)))*J17*INDEX(Drivers!$C$24:$N$24,MATCH(LEFT(J$2,4),Drivers!$C$23:$N$23,0))</f>
        <v>22500</v>
      </c>
      <c r="K43" s="73">
        <f t="array" ref="K43">IFERROR((INDEX(Drivers!$B$5:$C$7,MATCH($C43,Drivers!$B$5:$B$7,0),2)))*K17*INDEX(Drivers!$C$24:$N$24,MATCH(LEFT(K$2,4),Drivers!$C$23:$N$23,0))</f>
        <v>33750</v>
      </c>
      <c r="L43" s="73">
        <f t="array" ref="L43">IFERROR((INDEX(Drivers!$B$5:$C$7,MATCH($C43,Drivers!$B$5:$B$7,0),2)))*L17*INDEX(Drivers!$C$24:$N$24,MATCH(LEFT(L$2,4),Drivers!$C$23:$N$23,0))</f>
        <v>60000</v>
      </c>
      <c r="M43" s="73">
        <f t="array" ref="M43">IFERROR((INDEX(Drivers!$B$5:$C$7,MATCH($C43,Drivers!$B$5:$B$7,0),2)))*M17*INDEX(Drivers!$C$24:$N$24,MATCH(LEFT(M$2,4),Drivers!$C$23:$N$23,0))</f>
        <v>56250</v>
      </c>
      <c r="N43" s="73">
        <f t="array" ref="N43">IFERROR((INDEX(Drivers!$B$5:$C$7,MATCH($C43,Drivers!$B$5:$B$7,0),2)))*N17*INDEX(Drivers!$C$24:$N$24,MATCH(LEFT(N$2,4),Drivers!$C$23:$N$23,0))</f>
        <v>56250</v>
      </c>
      <c r="O43" s="73">
        <f t="array" ref="O43">IFERROR((INDEX(Drivers!$B$5:$C$7,MATCH($C43,Drivers!$B$5:$B$7,0),2)))*O17*INDEX(Drivers!$C$24:$N$24,MATCH(LEFT(O$2,4),Drivers!$C$23:$N$23,0))</f>
        <v>75000</v>
      </c>
      <c r="P43" s="73">
        <f t="array" ref="P43">IFERROR((INDEX(Drivers!$B$5:$C$7,MATCH($C43,Drivers!$B$5:$B$7,0),2)))*P17*INDEX(Drivers!$C$24:$N$24,MATCH(LEFT(P$2,4),Drivers!$C$23:$N$23,0))</f>
        <v>78750</v>
      </c>
      <c r="Q43" s="73">
        <f t="array" ref="Q43">IFERROR((INDEX(Drivers!$B$5:$C$7,MATCH($C43,Drivers!$B$5:$B$7,0),2)))*Q17*INDEX(Drivers!$C$24:$N$24,MATCH(LEFT(Q$2,4),Drivers!$C$23:$N$23,0))</f>
        <v>78750</v>
      </c>
      <c r="R43" s="73">
        <f t="array" ref="R43">IFERROR((INDEX(Drivers!$B$5:$C$7,MATCH($C43,Drivers!$B$5:$B$7,0),2)))*R17*INDEX(Drivers!$C$24:$N$24,MATCH(LEFT(R$2,4),Drivers!$C$23:$N$23,0))</f>
        <v>105000</v>
      </c>
      <c r="S43" s="73">
        <f t="array" ref="S43">IFERROR((INDEX(Drivers!$B$5:$C$7,MATCH($C43,Drivers!$B$5:$B$7,0),2)))*S17*INDEX(Drivers!$C$24:$N$24,MATCH(LEFT(S$2,4),Drivers!$C$23:$N$23,0))</f>
        <v>45000</v>
      </c>
      <c r="T43" s="73">
        <f t="array" ref="T43">IFERROR((INDEX(Drivers!$B$5:$C$7,MATCH($C43,Drivers!$B$5:$B$7,0),2)))*T17*INDEX(Drivers!$C$24:$N$24,MATCH(LEFT(T$2,4),Drivers!$C$23:$N$23,0))</f>
        <v>45000</v>
      </c>
      <c r="U43" s="73">
        <f t="array" ref="U43">IFERROR((INDEX(Drivers!$B$5:$C$7,MATCH($C43,Drivers!$B$5:$B$7,0),2)))*U17*INDEX(Drivers!$C$24:$N$24,MATCH(LEFT(U$2,4),Drivers!$C$23:$N$23,0))</f>
        <v>60000</v>
      </c>
      <c r="V43" s="73">
        <f t="array" ref="V43">IFERROR((INDEX(Drivers!$B$5:$C$7,MATCH($C43,Drivers!$B$5:$B$7,0),2)))*V17*INDEX(Drivers!$C$24:$N$24,MATCH(LEFT(V$2,4),Drivers!$C$23:$N$23,0))</f>
        <v>45000</v>
      </c>
      <c r="W43" s="73">
        <f t="array" ref="W43">IFERROR((INDEX(Drivers!$B$5:$C$7,MATCH($C43,Drivers!$B$5:$B$7,0),2)))*W17*INDEX(Drivers!$C$24:$N$24,MATCH(LEFT(W$2,4),Drivers!$C$23:$N$23,0))</f>
        <v>45000</v>
      </c>
      <c r="X43" s="73">
        <f t="array" ref="X43">IFERROR((INDEX(Drivers!$B$5:$C$7,MATCH($C43,Drivers!$B$5:$B$7,0),2)))*X17*INDEX(Drivers!$C$24:$N$24,MATCH(LEFT(X$2,4),Drivers!$C$23:$N$23,0))</f>
        <v>60000</v>
      </c>
      <c r="Y43" s="73">
        <f t="array" ref="Y43">IFERROR((INDEX(Drivers!$B$5:$C$7,MATCH($C43,Drivers!$B$5:$B$7,0),2)))*Y17*INDEX(Drivers!$C$24:$N$24,MATCH(LEFT(Y$2,4),Drivers!$C$23:$N$23,0))</f>
        <v>56250</v>
      </c>
      <c r="Z43" s="73">
        <f t="array" ref="Z43">IFERROR((INDEX(Drivers!$B$5:$C$7,MATCH($C43,Drivers!$B$5:$B$7,0),2)))*Z17*INDEX(Drivers!$C$24:$N$24,MATCH(LEFT(Z$2,4),Drivers!$C$23:$N$23,0))</f>
        <v>56250</v>
      </c>
      <c r="AA43" s="73">
        <f t="array" ref="AA43">IFERROR((INDEX(Drivers!$B$5:$C$7,MATCH($C43,Drivers!$B$5:$B$7,0),2)))*AA17*INDEX(Drivers!$C$24:$N$24,MATCH(LEFT(AA$2,4),Drivers!$C$23:$N$23,0))</f>
        <v>75000</v>
      </c>
      <c r="AB43" s="73">
        <f t="array" ref="AB43">IFERROR((INDEX(Drivers!$B$5:$C$7,MATCH($C43,Drivers!$B$5:$B$7,0),2)))*AB17*INDEX(Drivers!$C$24:$N$24,MATCH(LEFT(AB$2,4),Drivers!$C$23:$N$23,0))</f>
        <v>78750</v>
      </c>
      <c r="AC43" s="73">
        <f t="array" ref="AC43">IFERROR((INDEX(Drivers!$B$5:$C$7,MATCH($C43,Drivers!$B$5:$B$7,0),2)))*AC17*INDEX(Drivers!$C$24:$N$24,MATCH(LEFT(AC$2,4),Drivers!$C$23:$N$23,0))</f>
        <v>78750</v>
      </c>
      <c r="AD43" s="73">
        <f t="array" ref="AD43">IFERROR((INDEX(Drivers!$B$5:$C$7,MATCH($C43,Drivers!$B$5:$B$7,0),2)))*AD17*INDEX(Drivers!$C$24:$N$24,MATCH(LEFT(AD$2,4),Drivers!$C$23:$N$23,0))</f>
        <v>105000</v>
      </c>
    </row>
    <row r="44" ht="15.75" customHeight="1">
      <c r="A44" s="46"/>
      <c r="B44" s="46" t="str">
        <f t="shared" ref="B44:E44" si="20">B18</f>
        <v/>
      </c>
      <c r="C44" s="46" t="str">
        <f t="shared" si="20"/>
        <v>Account Executives - SMB</v>
      </c>
      <c r="D44" s="71">
        <f t="shared" si="20"/>
        <v>45597</v>
      </c>
      <c r="E44" s="72" t="str">
        <f t="shared" si="20"/>
        <v>1/0/00</v>
      </c>
      <c r="F44" s="46"/>
      <c r="G44" s="73">
        <f t="array" ref="G44">IFERROR((INDEX(Drivers!$B$5:$C$7,MATCH($C44,Drivers!$B$5:$B$7,0),2)))*G18*INDEX(Drivers!$C$24:$N$24,MATCH(LEFT(G$2,4),Drivers!$C$23:$N$23,0))</f>
        <v>0</v>
      </c>
      <c r="H44" s="73">
        <f t="array" ref="H44">IFERROR((INDEX(Drivers!$B$5:$C$7,MATCH($C44,Drivers!$B$5:$B$7,0),2)))*H18*INDEX(Drivers!$C$24:$N$24,MATCH(LEFT(H$2,4),Drivers!$C$23:$N$23,0))</f>
        <v>0</v>
      </c>
      <c r="I44" s="73">
        <f t="array" ref="I44">IFERROR((INDEX(Drivers!$B$5:$C$7,MATCH($C44,Drivers!$B$5:$B$7,0),2)))*I18*INDEX(Drivers!$C$24:$N$24,MATCH(LEFT(I$2,4),Drivers!$C$23:$N$23,0))</f>
        <v>0</v>
      </c>
      <c r="J44" s="73">
        <f t="array" ref="J44">IFERROR((INDEX(Drivers!$B$5:$C$7,MATCH($C44,Drivers!$B$5:$B$7,0),2)))*J18*INDEX(Drivers!$C$24:$N$24,MATCH(LEFT(J$2,4),Drivers!$C$23:$N$23,0))</f>
        <v>0</v>
      </c>
      <c r="K44" s="73">
        <f t="array" ref="K44">IFERROR((INDEX(Drivers!$B$5:$C$7,MATCH($C44,Drivers!$B$5:$B$7,0),2)))*K18*INDEX(Drivers!$C$24:$N$24,MATCH(LEFT(K$2,4),Drivers!$C$23:$N$23,0))</f>
        <v>0</v>
      </c>
      <c r="L44" s="73">
        <f t="array" ref="L44">IFERROR((INDEX(Drivers!$B$5:$C$7,MATCH($C44,Drivers!$B$5:$B$7,0),2)))*L18*INDEX(Drivers!$C$24:$N$24,MATCH(LEFT(L$2,4),Drivers!$C$23:$N$23,0))</f>
        <v>0</v>
      </c>
      <c r="M44" s="73">
        <f t="array" ref="M44">IFERROR((INDEX(Drivers!$B$5:$C$7,MATCH($C44,Drivers!$B$5:$B$7,0),2)))*M18*INDEX(Drivers!$C$24:$N$24,MATCH(LEFT(M$2,4),Drivers!$C$23:$N$23,0))</f>
        <v>0</v>
      </c>
      <c r="N44" s="73">
        <f t="array" ref="N44">IFERROR((INDEX(Drivers!$B$5:$C$7,MATCH($C44,Drivers!$B$5:$B$7,0),2)))*N18*INDEX(Drivers!$C$24:$N$24,MATCH(LEFT(N$2,4),Drivers!$C$23:$N$23,0))</f>
        <v>0</v>
      </c>
      <c r="O44" s="73">
        <f t="array" ref="O44">IFERROR((INDEX(Drivers!$B$5:$C$7,MATCH($C44,Drivers!$B$5:$B$7,0),2)))*O18*INDEX(Drivers!$C$24:$N$24,MATCH(LEFT(O$2,4),Drivers!$C$23:$N$23,0))</f>
        <v>0</v>
      </c>
      <c r="P44" s="73">
        <f t="array" ref="P44">IFERROR((INDEX(Drivers!$B$5:$C$7,MATCH($C44,Drivers!$B$5:$B$7,0),2)))*P18*INDEX(Drivers!$C$24:$N$24,MATCH(LEFT(P$2,4),Drivers!$C$23:$N$23,0))</f>
        <v>0</v>
      </c>
      <c r="Q44" s="73">
        <f t="array" ref="Q44">IFERROR((INDEX(Drivers!$B$5:$C$7,MATCH($C44,Drivers!$B$5:$B$7,0),2)))*Q18*INDEX(Drivers!$C$24:$N$24,MATCH(LEFT(Q$2,4),Drivers!$C$23:$N$23,0))</f>
        <v>0</v>
      </c>
      <c r="R44" s="73">
        <f t="array" ref="R44">IFERROR((INDEX(Drivers!$B$5:$C$7,MATCH($C44,Drivers!$B$5:$B$7,0),2)))*R18*INDEX(Drivers!$C$24:$N$24,MATCH(LEFT(R$2,4),Drivers!$C$23:$N$23,0))</f>
        <v>0</v>
      </c>
      <c r="S44" s="73">
        <f t="array" ref="S44">IFERROR((INDEX(Drivers!$B$5:$C$7,MATCH($C44,Drivers!$B$5:$B$7,0),2)))*S18*INDEX(Drivers!$C$24:$N$24,MATCH(LEFT(S$2,4),Drivers!$C$23:$N$23,0))</f>
        <v>22500</v>
      </c>
      <c r="T44" s="73">
        <f t="array" ref="T44">IFERROR((INDEX(Drivers!$B$5:$C$7,MATCH($C44,Drivers!$B$5:$B$7,0),2)))*T18*INDEX(Drivers!$C$24:$N$24,MATCH(LEFT(T$2,4),Drivers!$C$23:$N$23,0))</f>
        <v>33750</v>
      </c>
      <c r="U44" s="73">
        <f t="array" ref="U44">IFERROR((INDEX(Drivers!$B$5:$C$7,MATCH($C44,Drivers!$B$5:$B$7,0),2)))*U18*INDEX(Drivers!$C$24:$N$24,MATCH(LEFT(U$2,4),Drivers!$C$23:$N$23,0))</f>
        <v>60000</v>
      </c>
      <c r="V44" s="73">
        <f t="array" ref="V44">IFERROR((INDEX(Drivers!$B$5:$C$7,MATCH($C44,Drivers!$B$5:$B$7,0),2)))*V18*INDEX(Drivers!$C$24:$N$24,MATCH(LEFT(V$2,4),Drivers!$C$23:$N$23,0))</f>
        <v>45000</v>
      </c>
      <c r="W44" s="73">
        <f t="array" ref="W44">IFERROR((INDEX(Drivers!$B$5:$C$7,MATCH($C44,Drivers!$B$5:$B$7,0),2)))*W18*INDEX(Drivers!$C$24:$N$24,MATCH(LEFT(W$2,4),Drivers!$C$23:$N$23,0))</f>
        <v>45000</v>
      </c>
      <c r="X44" s="73">
        <f t="array" ref="X44">IFERROR((INDEX(Drivers!$B$5:$C$7,MATCH($C44,Drivers!$B$5:$B$7,0),2)))*X18*INDEX(Drivers!$C$24:$N$24,MATCH(LEFT(X$2,4),Drivers!$C$23:$N$23,0))</f>
        <v>60000</v>
      </c>
      <c r="Y44" s="73">
        <f t="array" ref="Y44">IFERROR((INDEX(Drivers!$B$5:$C$7,MATCH($C44,Drivers!$B$5:$B$7,0),2)))*Y18*INDEX(Drivers!$C$24:$N$24,MATCH(LEFT(Y$2,4),Drivers!$C$23:$N$23,0))</f>
        <v>56250</v>
      </c>
      <c r="Z44" s="73">
        <f t="array" ref="Z44">IFERROR((INDEX(Drivers!$B$5:$C$7,MATCH($C44,Drivers!$B$5:$B$7,0),2)))*Z18*INDEX(Drivers!$C$24:$N$24,MATCH(LEFT(Z$2,4),Drivers!$C$23:$N$23,0))</f>
        <v>56250</v>
      </c>
      <c r="AA44" s="73">
        <f t="array" ref="AA44">IFERROR((INDEX(Drivers!$B$5:$C$7,MATCH($C44,Drivers!$B$5:$B$7,0),2)))*AA18*INDEX(Drivers!$C$24:$N$24,MATCH(LEFT(AA$2,4),Drivers!$C$23:$N$23,0))</f>
        <v>75000</v>
      </c>
      <c r="AB44" s="73">
        <f t="array" ref="AB44">IFERROR((INDEX(Drivers!$B$5:$C$7,MATCH($C44,Drivers!$B$5:$B$7,0),2)))*AB18*INDEX(Drivers!$C$24:$N$24,MATCH(LEFT(AB$2,4),Drivers!$C$23:$N$23,0))</f>
        <v>78750</v>
      </c>
      <c r="AC44" s="73">
        <f t="array" ref="AC44">IFERROR((INDEX(Drivers!$B$5:$C$7,MATCH($C44,Drivers!$B$5:$B$7,0),2)))*AC18*INDEX(Drivers!$C$24:$N$24,MATCH(LEFT(AC$2,4),Drivers!$C$23:$N$23,0))</f>
        <v>78750</v>
      </c>
      <c r="AD44" s="73">
        <f t="array" ref="AD44">IFERROR((INDEX(Drivers!$B$5:$C$7,MATCH($C44,Drivers!$B$5:$B$7,0),2)))*AD18*INDEX(Drivers!$C$24:$N$24,MATCH(LEFT(AD$2,4),Drivers!$C$23:$N$23,0))</f>
        <v>105000</v>
      </c>
    </row>
    <row r="45" ht="15.75" customHeight="1">
      <c r="A45" s="46"/>
      <c r="B45" s="46" t="str">
        <f t="shared" ref="B45:E45" si="21">B19</f>
        <v/>
      </c>
      <c r="C45" s="46" t="str">
        <f t="shared" si="21"/>
        <v>Account Executives - Enterprise</v>
      </c>
      <c r="D45" s="71">
        <f t="shared" si="21"/>
        <v>45352</v>
      </c>
      <c r="E45" s="72" t="str">
        <f t="shared" si="21"/>
        <v>1/0/00</v>
      </c>
      <c r="F45" s="46"/>
      <c r="G45" s="73">
        <f t="array" ref="G45">IFERROR((INDEX(Drivers!$B$5:$C$7,MATCH($C45,Drivers!$B$5:$B$7,0),2)))*G19*INDEX(Drivers!$C$24:$N$24,MATCH(LEFT(G$2,4),Drivers!$C$23:$N$23,0))</f>
        <v>0</v>
      </c>
      <c r="H45" s="73">
        <f t="array" ref="H45">IFERROR((INDEX(Drivers!$B$5:$C$7,MATCH($C45,Drivers!$B$5:$B$7,0),2)))*H19*INDEX(Drivers!$C$24:$N$24,MATCH(LEFT(H$2,4),Drivers!$C$23:$N$23,0))</f>
        <v>0</v>
      </c>
      <c r="I45" s="73">
        <f t="array" ref="I45">IFERROR((INDEX(Drivers!$B$5:$C$7,MATCH($C45,Drivers!$B$5:$B$7,0),2)))*I19*INDEX(Drivers!$C$24:$N$24,MATCH(LEFT(I$2,4),Drivers!$C$23:$N$23,0))</f>
        <v>0</v>
      </c>
      <c r="J45" s="73">
        <f t="array" ref="J45">IFERROR((INDEX(Drivers!$B$5:$C$7,MATCH($C45,Drivers!$B$5:$B$7,0),2)))*J19*INDEX(Drivers!$C$24:$N$24,MATCH(LEFT(J$2,4),Drivers!$C$23:$N$23,0))</f>
        <v>0</v>
      </c>
      <c r="K45" s="73">
        <f t="array" ref="K45">IFERROR((INDEX(Drivers!$B$5:$C$7,MATCH($C45,Drivers!$B$5:$B$7,0),2)))*K19*INDEX(Drivers!$C$24:$N$24,MATCH(LEFT(K$2,4),Drivers!$C$23:$N$23,0))</f>
        <v>0</v>
      </c>
      <c r="L45" s="73">
        <f t="array" ref="L45">IFERROR((INDEX(Drivers!$B$5:$C$7,MATCH($C45,Drivers!$B$5:$B$7,0),2)))*L19*INDEX(Drivers!$C$24:$N$24,MATCH(LEFT(L$2,4),Drivers!$C$23:$N$23,0))</f>
        <v>24000</v>
      </c>
      <c r="M45" s="73">
        <f t="array" ref="M45">IFERROR((INDEX(Drivers!$B$5:$C$7,MATCH($C45,Drivers!$B$5:$B$7,0),2)))*M19*INDEX(Drivers!$C$24:$N$24,MATCH(LEFT(M$2,4),Drivers!$C$23:$N$23,0))</f>
        <v>45000</v>
      </c>
      <c r="N45" s="73">
        <f t="array" ref="N45">IFERROR((INDEX(Drivers!$B$5:$C$7,MATCH($C45,Drivers!$B$5:$B$7,0),2)))*N19*INDEX(Drivers!$C$24:$N$24,MATCH(LEFT(N$2,4),Drivers!$C$23:$N$23,0))</f>
        <v>45000</v>
      </c>
      <c r="O45" s="73">
        <f t="array" ref="O45">IFERROR((INDEX(Drivers!$B$5:$C$7,MATCH($C45,Drivers!$B$5:$B$7,0),2)))*O19*INDEX(Drivers!$C$24:$N$24,MATCH(LEFT(O$2,4),Drivers!$C$23:$N$23,0))</f>
        <v>90000</v>
      </c>
      <c r="P45" s="73">
        <f t="array" ref="P45">IFERROR((INDEX(Drivers!$B$5:$C$7,MATCH($C45,Drivers!$B$5:$B$7,0),2)))*P19*INDEX(Drivers!$C$24:$N$24,MATCH(LEFT(P$2,4),Drivers!$C$23:$N$23,0))</f>
        <v>94500</v>
      </c>
      <c r="Q45" s="73">
        <f t="array" ref="Q45">IFERROR((INDEX(Drivers!$B$5:$C$7,MATCH($C45,Drivers!$B$5:$B$7,0),2)))*Q19*INDEX(Drivers!$C$24:$N$24,MATCH(LEFT(Q$2,4),Drivers!$C$23:$N$23,0))</f>
        <v>126000</v>
      </c>
      <c r="R45" s="73">
        <f t="array" ref="R45">IFERROR((INDEX(Drivers!$B$5:$C$7,MATCH($C45,Drivers!$B$5:$B$7,0),2)))*R19*INDEX(Drivers!$C$24:$N$24,MATCH(LEFT(R$2,4),Drivers!$C$23:$N$23,0))</f>
        <v>168000</v>
      </c>
      <c r="S45" s="73">
        <f t="array" ref="S45">IFERROR((INDEX(Drivers!$B$5:$C$7,MATCH($C45,Drivers!$B$5:$B$7,0),2)))*S19*INDEX(Drivers!$C$24:$N$24,MATCH(LEFT(S$2,4),Drivers!$C$23:$N$23,0))</f>
        <v>72000</v>
      </c>
      <c r="T45" s="73">
        <f t="array" ref="T45">IFERROR((INDEX(Drivers!$B$5:$C$7,MATCH($C45,Drivers!$B$5:$B$7,0),2)))*T19*INDEX(Drivers!$C$24:$N$24,MATCH(LEFT(T$2,4),Drivers!$C$23:$N$23,0))</f>
        <v>72000</v>
      </c>
      <c r="U45" s="73">
        <f t="array" ref="U45">IFERROR((INDEX(Drivers!$B$5:$C$7,MATCH($C45,Drivers!$B$5:$B$7,0),2)))*U19*INDEX(Drivers!$C$24:$N$24,MATCH(LEFT(U$2,4),Drivers!$C$23:$N$23,0))</f>
        <v>96000</v>
      </c>
      <c r="V45" s="73">
        <f t="array" ref="V45">IFERROR((INDEX(Drivers!$B$5:$C$7,MATCH($C45,Drivers!$B$5:$B$7,0),2)))*V19*INDEX(Drivers!$C$24:$N$24,MATCH(LEFT(V$2,4),Drivers!$C$23:$N$23,0))</f>
        <v>72000</v>
      </c>
      <c r="W45" s="73">
        <f t="array" ref="W45">IFERROR((INDEX(Drivers!$B$5:$C$7,MATCH($C45,Drivers!$B$5:$B$7,0),2)))*W19*INDEX(Drivers!$C$24:$N$24,MATCH(LEFT(W$2,4),Drivers!$C$23:$N$23,0))</f>
        <v>72000</v>
      </c>
      <c r="X45" s="73">
        <f t="array" ref="X45">IFERROR((INDEX(Drivers!$B$5:$C$7,MATCH($C45,Drivers!$B$5:$B$7,0),2)))*X19*INDEX(Drivers!$C$24:$N$24,MATCH(LEFT(X$2,4),Drivers!$C$23:$N$23,0))</f>
        <v>96000</v>
      </c>
      <c r="Y45" s="73">
        <f t="array" ref="Y45">IFERROR((INDEX(Drivers!$B$5:$C$7,MATCH($C45,Drivers!$B$5:$B$7,0),2)))*Y19*INDEX(Drivers!$C$24:$N$24,MATCH(LEFT(Y$2,4),Drivers!$C$23:$N$23,0))</f>
        <v>90000</v>
      </c>
      <c r="Z45" s="73">
        <f t="array" ref="Z45">IFERROR((INDEX(Drivers!$B$5:$C$7,MATCH($C45,Drivers!$B$5:$B$7,0),2)))*Z19*INDEX(Drivers!$C$24:$N$24,MATCH(LEFT(Z$2,4),Drivers!$C$23:$N$23,0))</f>
        <v>90000</v>
      </c>
      <c r="AA45" s="73">
        <f t="array" ref="AA45">IFERROR((INDEX(Drivers!$B$5:$C$7,MATCH($C45,Drivers!$B$5:$B$7,0),2)))*AA19*INDEX(Drivers!$C$24:$N$24,MATCH(LEFT(AA$2,4),Drivers!$C$23:$N$23,0))</f>
        <v>120000</v>
      </c>
      <c r="AB45" s="73">
        <f t="array" ref="AB45">IFERROR((INDEX(Drivers!$B$5:$C$7,MATCH($C45,Drivers!$B$5:$B$7,0),2)))*AB19*INDEX(Drivers!$C$24:$N$24,MATCH(LEFT(AB$2,4),Drivers!$C$23:$N$23,0))</f>
        <v>126000</v>
      </c>
      <c r="AC45" s="73">
        <f t="array" ref="AC45">IFERROR((INDEX(Drivers!$B$5:$C$7,MATCH($C45,Drivers!$B$5:$B$7,0),2)))*AC19*INDEX(Drivers!$C$24:$N$24,MATCH(LEFT(AC$2,4),Drivers!$C$23:$N$23,0))</f>
        <v>126000</v>
      </c>
      <c r="AD45" s="73">
        <f t="array" ref="AD45">IFERROR((INDEX(Drivers!$B$5:$C$7,MATCH($C45,Drivers!$B$5:$B$7,0),2)))*AD19*INDEX(Drivers!$C$24:$N$24,MATCH(LEFT(AD$2,4),Drivers!$C$23:$N$23,0))</f>
        <v>168000</v>
      </c>
    </row>
    <row r="46" ht="15.75" customHeight="1">
      <c r="A46" s="46"/>
      <c r="B46" s="46"/>
      <c r="C46" s="46" t="str">
        <f t="shared" ref="C46:E46" si="22">C20</f>
        <v>Account Executives - Enterprise</v>
      </c>
      <c r="D46" s="71">
        <f t="shared" si="22"/>
        <v>45383</v>
      </c>
      <c r="E46" s="72" t="str">
        <f t="shared" si="22"/>
        <v>1/0/00</v>
      </c>
      <c r="F46" s="46"/>
      <c r="G46" s="73">
        <f t="array" ref="G46">IFERROR((INDEX(Drivers!$B$5:$C$7,MATCH($C46,Drivers!$B$5:$B$7,0),2)))*G20*INDEX(Drivers!$C$24:$N$24,MATCH(LEFT(G$2,4),Drivers!$C$23:$N$23,0))</f>
        <v>0</v>
      </c>
      <c r="H46" s="73">
        <f t="array" ref="H46">IFERROR((INDEX(Drivers!$B$5:$C$7,MATCH($C46,Drivers!$B$5:$B$7,0),2)))*H20*INDEX(Drivers!$C$24:$N$24,MATCH(LEFT(H$2,4),Drivers!$C$23:$N$23,0))</f>
        <v>0</v>
      </c>
      <c r="I46" s="73">
        <f t="array" ref="I46">IFERROR((INDEX(Drivers!$B$5:$C$7,MATCH($C46,Drivers!$B$5:$B$7,0),2)))*I20*INDEX(Drivers!$C$24:$N$24,MATCH(LEFT(I$2,4),Drivers!$C$23:$N$23,0))</f>
        <v>0</v>
      </c>
      <c r="J46" s="73">
        <f t="array" ref="J46">IFERROR((INDEX(Drivers!$B$5:$C$7,MATCH($C46,Drivers!$B$5:$B$7,0),2)))*J20*INDEX(Drivers!$C$24:$N$24,MATCH(LEFT(J$2,4),Drivers!$C$23:$N$23,0))</f>
        <v>0</v>
      </c>
      <c r="K46" s="73">
        <f t="array" ref="K46">IFERROR((INDEX(Drivers!$B$5:$C$7,MATCH($C46,Drivers!$B$5:$B$7,0),2)))*K20*INDEX(Drivers!$C$24:$N$24,MATCH(LEFT(K$2,4),Drivers!$C$23:$N$23,0))</f>
        <v>0</v>
      </c>
      <c r="L46" s="73">
        <f t="array" ref="L46">IFERROR((INDEX(Drivers!$B$5:$C$7,MATCH($C46,Drivers!$B$5:$B$7,0),2)))*L20*INDEX(Drivers!$C$24:$N$24,MATCH(LEFT(L$2,4),Drivers!$C$23:$N$23,0))</f>
        <v>0</v>
      </c>
      <c r="M46" s="73">
        <f t="array" ref="M46">IFERROR((INDEX(Drivers!$B$5:$C$7,MATCH($C46,Drivers!$B$5:$B$7,0),2)))*M20*INDEX(Drivers!$C$24:$N$24,MATCH(LEFT(M$2,4),Drivers!$C$23:$N$23,0))</f>
        <v>22500</v>
      </c>
      <c r="N46" s="73">
        <f t="array" ref="N46">IFERROR((INDEX(Drivers!$B$5:$C$7,MATCH($C46,Drivers!$B$5:$B$7,0),2)))*N20*INDEX(Drivers!$C$24:$N$24,MATCH(LEFT(N$2,4),Drivers!$C$23:$N$23,0))</f>
        <v>45000</v>
      </c>
      <c r="O46" s="73">
        <f t="array" ref="O46">IFERROR((INDEX(Drivers!$B$5:$C$7,MATCH($C46,Drivers!$B$5:$B$7,0),2)))*O20*INDEX(Drivers!$C$24:$N$24,MATCH(LEFT(O$2,4),Drivers!$C$23:$N$23,0))</f>
        <v>60000</v>
      </c>
      <c r="P46" s="73">
        <f t="array" ref="P46">IFERROR((INDEX(Drivers!$B$5:$C$7,MATCH($C46,Drivers!$B$5:$B$7,0),2)))*P20*INDEX(Drivers!$C$24:$N$24,MATCH(LEFT(P$2,4),Drivers!$C$23:$N$23,0))</f>
        <v>94500</v>
      </c>
      <c r="Q46" s="73">
        <f t="array" ref="Q46">IFERROR((INDEX(Drivers!$B$5:$C$7,MATCH($C46,Drivers!$B$5:$B$7,0),2)))*Q20*INDEX(Drivers!$C$24:$N$24,MATCH(LEFT(Q$2,4),Drivers!$C$23:$N$23,0))</f>
        <v>94500</v>
      </c>
      <c r="R46" s="73">
        <f t="array" ref="R46">IFERROR((INDEX(Drivers!$B$5:$C$7,MATCH($C46,Drivers!$B$5:$B$7,0),2)))*R20*INDEX(Drivers!$C$24:$N$24,MATCH(LEFT(R$2,4),Drivers!$C$23:$N$23,0))</f>
        <v>168000</v>
      </c>
      <c r="S46" s="73">
        <f t="array" ref="S46">IFERROR((INDEX(Drivers!$B$5:$C$7,MATCH($C46,Drivers!$B$5:$B$7,0),2)))*S20*INDEX(Drivers!$C$24:$N$24,MATCH(LEFT(S$2,4),Drivers!$C$23:$N$23,0))</f>
        <v>72000</v>
      </c>
      <c r="T46" s="73">
        <f t="array" ref="T46">IFERROR((INDEX(Drivers!$B$5:$C$7,MATCH($C46,Drivers!$B$5:$B$7,0),2)))*T20*INDEX(Drivers!$C$24:$N$24,MATCH(LEFT(T$2,4),Drivers!$C$23:$N$23,0))</f>
        <v>72000</v>
      </c>
      <c r="U46" s="73">
        <f t="array" ref="U46">IFERROR((INDEX(Drivers!$B$5:$C$7,MATCH($C46,Drivers!$B$5:$B$7,0),2)))*U20*INDEX(Drivers!$C$24:$N$24,MATCH(LEFT(U$2,4),Drivers!$C$23:$N$23,0))</f>
        <v>96000</v>
      </c>
      <c r="V46" s="73">
        <f t="array" ref="V46">IFERROR((INDEX(Drivers!$B$5:$C$7,MATCH($C46,Drivers!$B$5:$B$7,0),2)))*V20*INDEX(Drivers!$C$24:$N$24,MATCH(LEFT(V$2,4),Drivers!$C$23:$N$23,0))</f>
        <v>72000</v>
      </c>
      <c r="W46" s="73">
        <f t="array" ref="W46">IFERROR((INDEX(Drivers!$B$5:$C$7,MATCH($C46,Drivers!$B$5:$B$7,0),2)))*W20*INDEX(Drivers!$C$24:$N$24,MATCH(LEFT(W$2,4),Drivers!$C$23:$N$23,0))</f>
        <v>72000</v>
      </c>
      <c r="X46" s="73">
        <f t="array" ref="X46">IFERROR((INDEX(Drivers!$B$5:$C$7,MATCH($C46,Drivers!$B$5:$B$7,0),2)))*X20*INDEX(Drivers!$C$24:$N$24,MATCH(LEFT(X$2,4),Drivers!$C$23:$N$23,0))</f>
        <v>96000</v>
      </c>
      <c r="Y46" s="73">
        <f t="array" ref="Y46">IFERROR((INDEX(Drivers!$B$5:$C$7,MATCH($C46,Drivers!$B$5:$B$7,0),2)))*Y20*INDEX(Drivers!$C$24:$N$24,MATCH(LEFT(Y$2,4),Drivers!$C$23:$N$23,0))</f>
        <v>90000</v>
      </c>
      <c r="Z46" s="73">
        <f t="array" ref="Z46">IFERROR((INDEX(Drivers!$B$5:$C$7,MATCH($C46,Drivers!$B$5:$B$7,0),2)))*Z20*INDEX(Drivers!$C$24:$N$24,MATCH(LEFT(Z$2,4),Drivers!$C$23:$N$23,0))</f>
        <v>90000</v>
      </c>
      <c r="AA46" s="73">
        <f t="array" ref="AA46">IFERROR((INDEX(Drivers!$B$5:$C$7,MATCH($C46,Drivers!$B$5:$B$7,0),2)))*AA20*INDEX(Drivers!$C$24:$N$24,MATCH(LEFT(AA$2,4),Drivers!$C$23:$N$23,0))</f>
        <v>120000</v>
      </c>
      <c r="AB46" s="73">
        <f t="array" ref="AB46">IFERROR((INDEX(Drivers!$B$5:$C$7,MATCH($C46,Drivers!$B$5:$B$7,0),2)))*AB20*INDEX(Drivers!$C$24:$N$24,MATCH(LEFT(AB$2,4),Drivers!$C$23:$N$23,0))</f>
        <v>126000</v>
      </c>
      <c r="AC46" s="73">
        <f t="array" ref="AC46">IFERROR((INDEX(Drivers!$B$5:$C$7,MATCH($C46,Drivers!$B$5:$B$7,0),2)))*AC20*INDEX(Drivers!$C$24:$N$24,MATCH(LEFT(AC$2,4),Drivers!$C$23:$N$23,0))</f>
        <v>126000</v>
      </c>
      <c r="AD46" s="73">
        <f t="array" ref="AD46">IFERROR((INDEX(Drivers!$B$5:$C$7,MATCH($C46,Drivers!$B$5:$B$7,0),2)))*AD20*INDEX(Drivers!$C$24:$N$24,MATCH(LEFT(AD$2,4),Drivers!$C$23:$N$23,0))</f>
        <v>168000</v>
      </c>
    </row>
    <row r="47" ht="15.75" customHeight="1">
      <c r="A47" s="46"/>
      <c r="C47" s="46" t="str">
        <f t="shared" ref="C47:E47" si="23">C21</f>
        <v>Account Executives - Enterprise</v>
      </c>
      <c r="D47" s="71">
        <f t="shared" si="23"/>
        <v>45413</v>
      </c>
      <c r="E47" s="72" t="str">
        <f t="shared" si="23"/>
        <v>1/0/00</v>
      </c>
      <c r="F47" s="46"/>
      <c r="G47" s="73">
        <f t="array" ref="G47">IFERROR((INDEX(Drivers!$B$5:$C$7,MATCH($C47,Drivers!$B$5:$B$7,0),2)))*G21*INDEX(Drivers!$C$24:$N$24,MATCH(LEFT(G$2,4),Drivers!$C$23:$N$23,0))</f>
        <v>0</v>
      </c>
      <c r="H47" s="73">
        <f t="array" ref="H47">IFERROR((INDEX(Drivers!$B$5:$C$7,MATCH($C47,Drivers!$B$5:$B$7,0),2)))*H21*INDEX(Drivers!$C$24:$N$24,MATCH(LEFT(H$2,4),Drivers!$C$23:$N$23,0))</f>
        <v>0</v>
      </c>
      <c r="I47" s="73">
        <f t="array" ref="I47">IFERROR((INDEX(Drivers!$B$5:$C$7,MATCH($C47,Drivers!$B$5:$B$7,0),2)))*I21*INDEX(Drivers!$C$24:$N$24,MATCH(LEFT(I$2,4),Drivers!$C$23:$N$23,0))</f>
        <v>0</v>
      </c>
      <c r="J47" s="73">
        <f t="array" ref="J47">IFERROR((INDEX(Drivers!$B$5:$C$7,MATCH($C47,Drivers!$B$5:$B$7,0),2)))*J21*INDEX(Drivers!$C$24:$N$24,MATCH(LEFT(J$2,4),Drivers!$C$23:$N$23,0))</f>
        <v>0</v>
      </c>
      <c r="K47" s="73">
        <f t="array" ref="K47">IFERROR((INDEX(Drivers!$B$5:$C$7,MATCH($C47,Drivers!$B$5:$B$7,0),2)))*K21*INDEX(Drivers!$C$24:$N$24,MATCH(LEFT(K$2,4),Drivers!$C$23:$N$23,0))</f>
        <v>0</v>
      </c>
      <c r="L47" s="73">
        <f t="array" ref="L47">IFERROR((INDEX(Drivers!$B$5:$C$7,MATCH($C47,Drivers!$B$5:$B$7,0),2)))*L21*INDEX(Drivers!$C$24:$N$24,MATCH(LEFT(L$2,4),Drivers!$C$23:$N$23,0))</f>
        <v>0</v>
      </c>
      <c r="M47" s="73">
        <f t="array" ref="M47">IFERROR((INDEX(Drivers!$B$5:$C$7,MATCH($C47,Drivers!$B$5:$B$7,0),2)))*M21*INDEX(Drivers!$C$24:$N$24,MATCH(LEFT(M$2,4),Drivers!$C$23:$N$23,0))</f>
        <v>0</v>
      </c>
      <c r="N47" s="73">
        <f t="array" ref="N47">IFERROR((INDEX(Drivers!$B$5:$C$7,MATCH($C47,Drivers!$B$5:$B$7,0),2)))*N21*INDEX(Drivers!$C$24:$N$24,MATCH(LEFT(N$2,4),Drivers!$C$23:$N$23,0))</f>
        <v>22500</v>
      </c>
      <c r="O47" s="73">
        <f t="array" ref="O47">IFERROR((INDEX(Drivers!$B$5:$C$7,MATCH($C47,Drivers!$B$5:$B$7,0),2)))*O21*INDEX(Drivers!$C$24:$N$24,MATCH(LEFT(O$2,4),Drivers!$C$23:$N$23,0))</f>
        <v>60000</v>
      </c>
      <c r="P47" s="73">
        <f t="array" ref="P47">IFERROR((INDEX(Drivers!$B$5:$C$7,MATCH($C47,Drivers!$B$5:$B$7,0),2)))*P21*INDEX(Drivers!$C$24:$N$24,MATCH(LEFT(P$2,4),Drivers!$C$23:$N$23,0))</f>
        <v>63000</v>
      </c>
      <c r="Q47" s="73">
        <f t="array" ref="Q47">IFERROR((INDEX(Drivers!$B$5:$C$7,MATCH($C47,Drivers!$B$5:$B$7,0),2)))*Q21*INDEX(Drivers!$C$24:$N$24,MATCH(LEFT(Q$2,4),Drivers!$C$23:$N$23,0))</f>
        <v>94500</v>
      </c>
      <c r="R47" s="73">
        <f t="array" ref="R47">IFERROR((INDEX(Drivers!$B$5:$C$7,MATCH($C47,Drivers!$B$5:$B$7,0),2)))*R21*INDEX(Drivers!$C$24:$N$24,MATCH(LEFT(R$2,4),Drivers!$C$23:$N$23,0))</f>
        <v>126000</v>
      </c>
      <c r="S47" s="73">
        <f t="array" ref="S47">IFERROR((INDEX(Drivers!$B$5:$C$7,MATCH($C47,Drivers!$B$5:$B$7,0),2)))*S21*INDEX(Drivers!$C$24:$N$24,MATCH(LEFT(S$2,4),Drivers!$C$23:$N$23,0))</f>
        <v>72000</v>
      </c>
      <c r="T47" s="73">
        <f t="array" ref="T47">IFERROR((INDEX(Drivers!$B$5:$C$7,MATCH($C47,Drivers!$B$5:$B$7,0),2)))*T21*INDEX(Drivers!$C$24:$N$24,MATCH(LEFT(T$2,4),Drivers!$C$23:$N$23,0))</f>
        <v>72000</v>
      </c>
      <c r="U47" s="73">
        <f t="array" ref="U47">IFERROR((INDEX(Drivers!$B$5:$C$7,MATCH($C47,Drivers!$B$5:$B$7,0),2)))*U21*INDEX(Drivers!$C$24:$N$24,MATCH(LEFT(U$2,4),Drivers!$C$23:$N$23,0))</f>
        <v>96000</v>
      </c>
      <c r="V47" s="73">
        <f t="array" ref="V47">IFERROR((INDEX(Drivers!$B$5:$C$7,MATCH($C47,Drivers!$B$5:$B$7,0),2)))*V21*INDEX(Drivers!$C$24:$N$24,MATCH(LEFT(V$2,4),Drivers!$C$23:$N$23,0))</f>
        <v>72000</v>
      </c>
      <c r="W47" s="73">
        <f t="array" ref="W47">IFERROR((INDEX(Drivers!$B$5:$C$7,MATCH($C47,Drivers!$B$5:$B$7,0),2)))*W21*INDEX(Drivers!$C$24:$N$24,MATCH(LEFT(W$2,4),Drivers!$C$23:$N$23,0))</f>
        <v>72000</v>
      </c>
      <c r="X47" s="73">
        <f t="array" ref="X47">IFERROR((INDEX(Drivers!$B$5:$C$7,MATCH($C47,Drivers!$B$5:$B$7,0),2)))*X21*INDEX(Drivers!$C$24:$N$24,MATCH(LEFT(X$2,4),Drivers!$C$23:$N$23,0))</f>
        <v>96000</v>
      </c>
      <c r="Y47" s="73">
        <f t="array" ref="Y47">IFERROR((INDEX(Drivers!$B$5:$C$7,MATCH($C47,Drivers!$B$5:$B$7,0),2)))*Y21*INDEX(Drivers!$C$24:$N$24,MATCH(LEFT(Y$2,4),Drivers!$C$23:$N$23,0))</f>
        <v>90000</v>
      </c>
      <c r="Z47" s="73">
        <f t="array" ref="Z47">IFERROR((INDEX(Drivers!$B$5:$C$7,MATCH($C47,Drivers!$B$5:$B$7,0),2)))*Z21*INDEX(Drivers!$C$24:$N$24,MATCH(LEFT(Z$2,4),Drivers!$C$23:$N$23,0))</f>
        <v>90000</v>
      </c>
      <c r="AA47" s="73">
        <f t="array" ref="AA47">IFERROR((INDEX(Drivers!$B$5:$C$7,MATCH($C47,Drivers!$B$5:$B$7,0),2)))*AA21*INDEX(Drivers!$C$24:$N$24,MATCH(LEFT(AA$2,4),Drivers!$C$23:$N$23,0))</f>
        <v>120000</v>
      </c>
      <c r="AB47" s="73">
        <f t="array" ref="AB47">IFERROR((INDEX(Drivers!$B$5:$C$7,MATCH($C47,Drivers!$B$5:$B$7,0),2)))*AB21*INDEX(Drivers!$C$24:$N$24,MATCH(LEFT(AB$2,4),Drivers!$C$23:$N$23,0))</f>
        <v>126000</v>
      </c>
      <c r="AC47" s="73">
        <f t="array" ref="AC47">IFERROR((INDEX(Drivers!$B$5:$C$7,MATCH($C47,Drivers!$B$5:$B$7,0),2)))*AC21*INDEX(Drivers!$C$24:$N$24,MATCH(LEFT(AC$2,4),Drivers!$C$23:$N$23,0))</f>
        <v>126000</v>
      </c>
      <c r="AD47" s="73">
        <f t="array" ref="AD47">IFERROR((INDEX(Drivers!$B$5:$C$7,MATCH($C47,Drivers!$B$5:$B$7,0),2)))*AD21*INDEX(Drivers!$C$24:$N$24,MATCH(LEFT(AD$2,4),Drivers!$C$23:$N$23,0))</f>
        <v>168000</v>
      </c>
    </row>
    <row r="48" ht="15.75" customHeight="1">
      <c r="A48" s="46"/>
      <c r="B48" s="46"/>
      <c r="C48" s="74" t="s">
        <v>53</v>
      </c>
      <c r="D48" s="71"/>
      <c r="E48" s="72"/>
      <c r="F48" s="46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</row>
    <row r="49" ht="15.75" customHeight="1">
      <c r="A49" s="46"/>
      <c r="B49" s="46"/>
      <c r="C49" s="46"/>
      <c r="D49" s="71"/>
      <c r="E49" s="72"/>
      <c r="F49" s="46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</row>
    <row r="50" ht="15.75" customHeight="1">
      <c r="A50" s="46"/>
      <c r="B50" s="46"/>
      <c r="C50" s="46"/>
      <c r="D50" s="71"/>
      <c r="E50" s="72"/>
      <c r="F50" s="46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</row>
    <row r="51" ht="15.75" customHeight="1">
      <c r="A51" s="46"/>
      <c r="B51" s="68" t="str">
        <f t="shared" ref="B51:C51" si="24">B28</f>
        <v/>
      </c>
      <c r="C51" s="68" t="str">
        <f t="shared" si="24"/>
        <v/>
      </c>
      <c r="D51" s="68"/>
      <c r="E51" s="68"/>
      <c r="F51" s="68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</row>
    <row r="52" ht="15.75" customHeight="1">
      <c r="A52" s="46"/>
      <c r="B52" s="46"/>
      <c r="C52" s="54" t="s">
        <v>39</v>
      </c>
      <c r="D52" s="46"/>
      <c r="E52" s="46"/>
      <c r="F52" s="46"/>
      <c r="G52" s="73">
        <f t="shared" ref="G52:AD52" si="25">SUMIFS(G$31:G50,$C$31:$C$50,$C52)</f>
        <v>162000</v>
      </c>
      <c r="H52" s="73">
        <f t="shared" si="25"/>
        <v>180000</v>
      </c>
      <c r="I52" s="73">
        <f t="shared" si="25"/>
        <v>240000</v>
      </c>
      <c r="J52" s="73">
        <f t="shared" si="25"/>
        <v>216000</v>
      </c>
      <c r="K52" s="73">
        <f t="shared" si="25"/>
        <v>234000</v>
      </c>
      <c r="L52" s="73">
        <f t="shared" si="25"/>
        <v>360000</v>
      </c>
      <c r="M52" s="73">
        <f t="shared" si="25"/>
        <v>405000</v>
      </c>
      <c r="N52" s="73">
        <f t="shared" si="25"/>
        <v>450000</v>
      </c>
      <c r="O52" s="73">
        <f t="shared" si="25"/>
        <v>690000</v>
      </c>
      <c r="P52" s="73">
        <f t="shared" si="25"/>
        <v>756000</v>
      </c>
      <c r="Q52" s="73">
        <f t="shared" si="25"/>
        <v>819000</v>
      </c>
      <c r="R52" s="73">
        <f t="shared" si="25"/>
        <v>1134000</v>
      </c>
      <c r="S52" s="73">
        <f t="shared" si="25"/>
        <v>504000</v>
      </c>
      <c r="T52" s="73">
        <f t="shared" si="25"/>
        <v>504000</v>
      </c>
      <c r="U52" s="73">
        <f t="shared" si="25"/>
        <v>672000</v>
      </c>
      <c r="V52" s="73">
        <f t="shared" si="25"/>
        <v>504000</v>
      </c>
      <c r="W52" s="73">
        <f t="shared" si="25"/>
        <v>504000</v>
      </c>
      <c r="X52" s="73">
        <f t="shared" si="25"/>
        <v>672000</v>
      </c>
      <c r="Y52" s="73">
        <f t="shared" si="25"/>
        <v>630000</v>
      </c>
      <c r="Z52" s="73">
        <f t="shared" si="25"/>
        <v>630000</v>
      </c>
      <c r="AA52" s="73">
        <f t="shared" si="25"/>
        <v>840000</v>
      </c>
      <c r="AB52" s="73">
        <f t="shared" si="25"/>
        <v>882000</v>
      </c>
      <c r="AC52" s="73">
        <f t="shared" si="25"/>
        <v>882000</v>
      </c>
      <c r="AD52" s="73">
        <f t="shared" si="25"/>
        <v>1176000</v>
      </c>
    </row>
    <row r="53" ht="15.75" customHeight="1">
      <c r="A53" s="46"/>
      <c r="B53" s="46"/>
      <c r="C53" s="54" t="s">
        <v>42</v>
      </c>
      <c r="D53" s="46"/>
      <c r="E53" s="46"/>
      <c r="F53" s="46"/>
      <c r="G53" s="73">
        <f t="shared" ref="G53:AD53" si="26">SUMIFS(G$31:G50,$C$31:$C$50,$C53)</f>
        <v>144000</v>
      </c>
      <c r="H53" s="73">
        <f t="shared" si="26"/>
        <v>162000</v>
      </c>
      <c r="I53" s="73">
        <f t="shared" si="26"/>
        <v>252000</v>
      </c>
      <c r="J53" s="73">
        <f t="shared" si="26"/>
        <v>216000</v>
      </c>
      <c r="K53" s="73">
        <f t="shared" si="26"/>
        <v>207000</v>
      </c>
      <c r="L53" s="73">
        <f t="shared" si="26"/>
        <v>288000</v>
      </c>
      <c r="M53" s="73">
        <f t="shared" si="26"/>
        <v>270000</v>
      </c>
      <c r="N53" s="73">
        <f t="shared" si="26"/>
        <v>270000</v>
      </c>
      <c r="O53" s="73">
        <f t="shared" si="26"/>
        <v>360000</v>
      </c>
      <c r="P53" s="73">
        <f t="shared" si="26"/>
        <v>378000</v>
      </c>
      <c r="Q53" s="73">
        <f t="shared" si="26"/>
        <v>378000</v>
      </c>
      <c r="R53" s="73">
        <f t="shared" si="26"/>
        <v>504000</v>
      </c>
      <c r="S53" s="73">
        <f t="shared" si="26"/>
        <v>216000</v>
      </c>
      <c r="T53" s="73">
        <f t="shared" si="26"/>
        <v>216000</v>
      </c>
      <c r="U53" s="73">
        <f t="shared" si="26"/>
        <v>288000</v>
      </c>
      <c r="V53" s="73">
        <f t="shared" si="26"/>
        <v>216000</v>
      </c>
      <c r="W53" s="73">
        <f t="shared" si="26"/>
        <v>216000</v>
      </c>
      <c r="X53" s="73">
        <f t="shared" si="26"/>
        <v>288000</v>
      </c>
      <c r="Y53" s="73">
        <f t="shared" si="26"/>
        <v>270000</v>
      </c>
      <c r="Z53" s="73">
        <f t="shared" si="26"/>
        <v>270000</v>
      </c>
      <c r="AA53" s="73">
        <f t="shared" si="26"/>
        <v>360000</v>
      </c>
      <c r="AB53" s="73">
        <f t="shared" si="26"/>
        <v>378000</v>
      </c>
      <c r="AC53" s="73">
        <f t="shared" si="26"/>
        <v>378000</v>
      </c>
      <c r="AD53" s="73">
        <f t="shared" si="26"/>
        <v>504000</v>
      </c>
    </row>
    <row r="54" ht="15.75" customHeight="1">
      <c r="A54" s="46"/>
      <c r="B54" s="46"/>
      <c r="C54" s="54" t="s">
        <v>51</v>
      </c>
      <c r="D54" s="46"/>
      <c r="E54" s="46"/>
      <c r="F54" s="46"/>
      <c r="G54" s="73">
        <f t="shared" ref="G54:AD54" si="27">SUMIFS(G$31:G50,$C$31:$C$50,$C54)</f>
        <v>0</v>
      </c>
      <c r="H54" s="73">
        <f t="shared" si="27"/>
        <v>0</v>
      </c>
      <c r="I54" s="73">
        <f t="shared" si="27"/>
        <v>0</v>
      </c>
      <c r="J54" s="73">
        <f t="shared" si="27"/>
        <v>22500</v>
      </c>
      <c r="K54" s="73">
        <f t="shared" si="27"/>
        <v>33750</v>
      </c>
      <c r="L54" s="73">
        <f t="shared" si="27"/>
        <v>60000</v>
      </c>
      <c r="M54" s="73">
        <f t="shared" si="27"/>
        <v>56250</v>
      </c>
      <c r="N54" s="73">
        <f t="shared" si="27"/>
        <v>56250</v>
      </c>
      <c r="O54" s="73">
        <f t="shared" si="27"/>
        <v>75000</v>
      </c>
      <c r="P54" s="73">
        <f t="shared" si="27"/>
        <v>78750</v>
      </c>
      <c r="Q54" s="73">
        <f t="shared" si="27"/>
        <v>78750</v>
      </c>
      <c r="R54" s="73">
        <f t="shared" si="27"/>
        <v>105000</v>
      </c>
      <c r="S54" s="73">
        <f t="shared" si="27"/>
        <v>67500</v>
      </c>
      <c r="T54" s="73">
        <f t="shared" si="27"/>
        <v>78750</v>
      </c>
      <c r="U54" s="73">
        <f t="shared" si="27"/>
        <v>120000</v>
      </c>
      <c r="V54" s="73">
        <f t="shared" si="27"/>
        <v>90000</v>
      </c>
      <c r="W54" s="73">
        <f t="shared" si="27"/>
        <v>90000</v>
      </c>
      <c r="X54" s="73">
        <f t="shared" si="27"/>
        <v>120000</v>
      </c>
      <c r="Y54" s="73">
        <f t="shared" si="27"/>
        <v>112500</v>
      </c>
      <c r="Z54" s="73">
        <f t="shared" si="27"/>
        <v>112500</v>
      </c>
      <c r="AA54" s="73">
        <f t="shared" si="27"/>
        <v>150000</v>
      </c>
      <c r="AB54" s="73">
        <f t="shared" si="27"/>
        <v>157500</v>
      </c>
      <c r="AC54" s="73">
        <f t="shared" si="27"/>
        <v>157500</v>
      </c>
      <c r="AD54" s="73">
        <f t="shared" si="27"/>
        <v>210000</v>
      </c>
    </row>
    <row r="55" ht="15.75" customHeight="1">
      <c r="A55" s="46"/>
      <c r="B55" s="46"/>
      <c r="C55" s="68" t="s">
        <v>52</v>
      </c>
      <c r="D55" s="68"/>
      <c r="E55" s="68"/>
      <c r="F55" s="68"/>
      <c r="G55" s="75">
        <f t="shared" ref="G55:AD55" si="28">G53+G52</f>
        <v>306000</v>
      </c>
      <c r="H55" s="75">
        <f t="shared" si="28"/>
        <v>342000</v>
      </c>
      <c r="I55" s="75">
        <f t="shared" si="28"/>
        <v>492000</v>
      </c>
      <c r="J55" s="75">
        <f t="shared" si="28"/>
        <v>432000</v>
      </c>
      <c r="K55" s="75">
        <f t="shared" si="28"/>
        <v>441000</v>
      </c>
      <c r="L55" s="75">
        <f t="shared" si="28"/>
        <v>648000</v>
      </c>
      <c r="M55" s="75">
        <f t="shared" si="28"/>
        <v>675000</v>
      </c>
      <c r="N55" s="75">
        <f t="shared" si="28"/>
        <v>720000</v>
      </c>
      <c r="O55" s="75">
        <f t="shared" si="28"/>
        <v>1050000</v>
      </c>
      <c r="P55" s="75">
        <f t="shared" si="28"/>
        <v>1134000</v>
      </c>
      <c r="Q55" s="75">
        <f t="shared" si="28"/>
        <v>1197000</v>
      </c>
      <c r="R55" s="75">
        <f t="shared" si="28"/>
        <v>1638000</v>
      </c>
      <c r="S55" s="75">
        <f t="shared" si="28"/>
        <v>720000</v>
      </c>
      <c r="T55" s="75">
        <f t="shared" si="28"/>
        <v>720000</v>
      </c>
      <c r="U55" s="75">
        <f t="shared" si="28"/>
        <v>960000</v>
      </c>
      <c r="V55" s="75">
        <f t="shared" si="28"/>
        <v>720000</v>
      </c>
      <c r="W55" s="75">
        <f t="shared" si="28"/>
        <v>720000</v>
      </c>
      <c r="X55" s="75">
        <f t="shared" si="28"/>
        <v>960000</v>
      </c>
      <c r="Y55" s="75">
        <f t="shared" si="28"/>
        <v>900000</v>
      </c>
      <c r="Z55" s="75">
        <f t="shared" si="28"/>
        <v>900000</v>
      </c>
      <c r="AA55" s="75">
        <f t="shared" si="28"/>
        <v>1200000</v>
      </c>
      <c r="AB55" s="75">
        <f t="shared" si="28"/>
        <v>1260000</v>
      </c>
      <c r="AC55" s="75">
        <f t="shared" si="28"/>
        <v>1260000</v>
      </c>
      <c r="AD55" s="75">
        <f t="shared" si="28"/>
        <v>1680000</v>
      </c>
    </row>
    <row r="56" ht="15.7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 ht="15.75" customHeight="1">
      <c r="A57" s="46"/>
      <c r="B57" s="76" t="s">
        <v>54</v>
      </c>
      <c r="C57" s="59"/>
      <c r="D57" s="60"/>
      <c r="E57" s="61"/>
      <c r="F57" s="62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</row>
    <row r="58" ht="15.7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</row>
    <row r="59" ht="15.75" customHeight="1">
      <c r="A59" s="46"/>
      <c r="B59" s="46"/>
      <c r="C59" s="54" t="s">
        <v>55</v>
      </c>
      <c r="D59" s="46"/>
      <c r="E59" s="46"/>
      <c r="F59" s="46"/>
      <c r="G59" s="73">
        <f>G52*(1-Drivers!$C$15)</f>
        <v>132840</v>
      </c>
      <c r="H59" s="73">
        <f>H52*(1-Drivers!$C$15)</f>
        <v>147600</v>
      </c>
      <c r="I59" s="73">
        <f>I52*(1-Drivers!$C$15)</f>
        <v>196800</v>
      </c>
      <c r="J59" s="73">
        <f>J52*(1-Drivers!$C$15)</f>
        <v>177120</v>
      </c>
      <c r="K59" s="73">
        <f>K52*(1-Drivers!$C$15)</f>
        <v>191880</v>
      </c>
      <c r="L59" s="73">
        <f>L52*(1-Drivers!$C$15)</f>
        <v>295200</v>
      </c>
      <c r="M59" s="73">
        <f>M52*(1-Drivers!$C$15)</f>
        <v>332100</v>
      </c>
      <c r="N59" s="73">
        <f>N52*(1-Drivers!$C$15)</f>
        <v>369000</v>
      </c>
      <c r="O59" s="73">
        <f>O52*(1-Drivers!$C$15)</f>
        <v>565800</v>
      </c>
      <c r="P59" s="73">
        <f>P52*(1-Drivers!$C$15)</f>
        <v>619920</v>
      </c>
      <c r="Q59" s="73">
        <f>Q52*(1-Drivers!$C$15)</f>
        <v>671580</v>
      </c>
      <c r="R59" s="73">
        <f>R52*(1-Drivers!$C$15)</f>
        <v>929880</v>
      </c>
      <c r="S59" s="73">
        <f>S52*(1-Drivers!$C$15)</f>
        <v>413280</v>
      </c>
      <c r="T59" s="73">
        <f>T52*(1-Drivers!$C$15)</f>
        <v>413280</v>
      </c>
      <c r="U59" s="73">
        <f>U52*(1-Drivers!$C$15)</f>
        <v>551040</v>
      </c>
      <c r="V59" s="73">
        <f>V52*(1-Drivers!$C$15)</f>
        <v>413280</v>
      </c>
      <c r="W59" s="73">
        <f>W52*(1-Drivers!$C$15)</f>
        <v>413280</v>
      </c>
      <c r="X59" s="73">
        <f>X52*(1-Drivers!$C$15)</f>
        <v>551040</v>
      </c>
      <c r="Y59" s="73">
        <f>Y52*(1-Drivers!$C$15)</f>
        <v>516600</v>
      </c>
      <c r="Z59" s="73">
        <f>Z52*(1-Drivers!$C$15)</f>
        <v>516600</v>
      </c>
      <c r="AA59" s="73">
        <f>AA52*(1-Drivers!$C$15)</f>
        <v>688800</v>
      </c>
      <c r="AB59" s="73">
        <f>AB52*(1-Drivers!$C$15)</f>
        <v>723240</v>
      </c>
      <c r="AC59" s="73">
        <f>AC52*(1-Drivers!$C$15)</f>
        <v>723240</v>
      </c>
      <c r="AD59" s="73">
        <f>AD52*(1-Drivers!$C$15)</f>
        <v>964320</v>
      </c>
    </row>
    <row r="60" ht="15.75" customHeight="1">
      <c r="A60" s="46"/>
      <c r="B60" s="46"/>
      <c r="C60" s="54" t="s">
        <v>56</v>
      </c>
      <c r="D60" s="46"/>
      <c r="E60" s="46"/>
      <c r="F60" s="46"/>
      <c r="G60" s="73">
        <f>G53*(1-Drivers!$C$15)</f>
        <v>118080</v>
      </c>
      <c r="H60" s="73">
        <f>H53*(1-Drivers!$C$15)</f>
        <v>132840</v>
      </c>
      <c r="I60" s="73">
        <f>I53*(1-Drivers!$C$15)</f>
        <v>206640</v>
      </c>
      <c r="J60" s="73">
        <f>J53*(1-Drivers!$C$15)</f>
        <v>177120</v>
      </c>
      <c r="K60" s="73">
        <f>K53*(1-Drivers!$C$15)</f>
        <v>169740</v>
      </c>
      <c r="L60" s="73">
        <f>L53*(1-Drivers!$C$15)</f>
        <v>236160</v>
      </c>
      <c r="M60" s="73">
        <f>M53*(1-Drivers!$C$15)</f>
        <v>221400</v>
      </c>
      <c r="N60" s="73">
        <f>N53*(1-Drivers!$C$15)</f>
        <v>221400</v>
      </c>
      <c r="O60" s="73">
        <f>O53*(1-Drivers!$C$15)</f>
        <v>295200</v>
      </c>
      <c r="P60" s="73">
        <f>P53*(1-Drivers!$C$15)</f>
        <v>309960</v>
      </c>
      <c r="Q60" s="73">
        <f>Q53*(1-Drivers!$C$15)</f>
        <v>309960</v>
      </c>
      <c r="R60" s="73">
        <f>R53*(1-Drivers!$C$15)</f>
        <v>413280</v>
      </c>
      <c r="S60" s="73">
        <f>S53*(1-Drivers!$C$15)</f>
        <v>177120</v>
      </c>
      <c r="T60" s="73">
        <f>T53*(1-Drivers!$C$15)</f>
        <v>177120</v>
      </c>
      <c r="U60" s="73">
        <f>U53*(1-Drivers!$C$15)</f>
        <v>236160</v>
      </c>
      <c r="V60" s="73">
        <f>V53*(1-Drivers!$C$15)</f>
        <v>177120</v>
      </c>
      <c r="W60" s="73">
        <f>W53*(1-Drivers!$C$15)</f>
        <v>177120</v>
      </c>
      <c r="X60" s="73">
        <f>X53*(1-Drivers!$C$15)</f>
        <v>236160</v>
      </c>
      <c r="Y60" s="73">
        <f>Y53*(1-Drivers!$C$15)</f>
        <v>221400</v>
      </c>
      <c r="Z60" s="73">
        <f>Z53*(1-Drivers!$C$15)</f>
        <v>221400</v>
      </c>
      <c r="AA60" s="73">
        <f>AA53*(1-Drivers!$C$15)</f>
        <v>295200</v>
      </c>
      <c r="AB60" s="73">
        <f>AB53*(1-Drivers!$C$15)</f>
        <v>309960</v>
      </c>
      <c r="AC60" s="73">
        <f>AC53*(1-Drivers!$C$15)</f>
        <v>309960</v>
      </c>
      <c r="AD60" s="73">
        <f>AD53*(1-Drivers!$C$15)</f>
        <v>413280</v>
      </c>
    </row>
    <row r="61" ht="15.75" customHeight="1">
      <c r="A61" s="46"/>
      <c r="B61" s="46"/>
      <c r="C61" s="54" t="s">
        <v>51</v>
      </c>
      <c r="D61" s="46"/>
      <c r="E61" s="46"/>
      <c r="F61" s="46"/>
      <c r="G61" s="73">
        <f>G54*(1-Drivers!$C$15)</f>
        <v>0</v>
      </c>
      <c r="H61" s="73">
        <f>H54*(1-Drivers!$C$15)</f>
        <v>0</v>
      </c>
      <c r="I61" s="73">
        <f>I54*(1-Drivers!$C$15)</f>
        <v>0</v>
      </c>
      <c r="J61" s="73">
        <f>J54*(1-Drivers!$C$15)</f>
        <v>18450</v>
      </c>
      <c r="K61" s="73">
        <f>K54*(1-Drivers!$C$15)</f>
        <v>27675</v>
      </c>
      <c r="L61" s="73">
        <f>L54*(1-Drivers!$C$15)</f>
        <v>49200</v>
      </c>
      <c r="M61" s="73">
        <f>M54*(1-Drivers!$C$15)</f>
        <v>46125</v>
      </c>
      <c r="N61" s="73">
        <f>N54*(1-Drivers!$C$15)</f>
        <v>46125</v>
      </c>
      <c r="O61" s="73">
        <f>O54*(1-Drivers!$C$15)</f>
        <v>61500</v>
      </c>
      <c r="P61" s="73">
        <f>P54*(1-Drivers!$C$15)</f>
        <v>64575</v>
      </c>
      <c r="Q61" s="73">
        <f>Q54*(1-Drivers!$C$15)</f>
        <v>64575</v>
      </c>
      <c r="R61" s="73">
        <f>R54*(1-Drivers!$C$15)</f>
        <v>86100</v>
      </c>
      <c r="S61" s="73">
        <f>S54*(1-Drivers!$C$15)</f>
        <v>55350</v>
      </c>
      <c r="T61" s="73">
        <f>T54*(1-Drivers!$C$15)</f>
        <v>64575</v>
      </c>
      <c r="U61" s="73">
        <f>U54*(1-Drivers!$C$15)</f>
        <v>98400</v>
      </c>
      <c r="V61" s="73">
        <f>V54*(1-Drivers!$C$15)</f>
        <v>73800</v>
      </c>
      <c r="W61" s="73">
        <f>W54*(1-Drivers!$C$15)</f>
        <v>73800</v>
      </c>
      <c r="X61" s="73">
        <f>X54*(1-Drivers!$C$15)</f>
        <v>98400</v>
      </c>
      <c r="Y61" s="73">
        <f>Y54*(1-Drivers!$C$15)</f>
        <v>92250</v>
      </c>
      <c r="Z61" s="73">
        <f>Z54*(1-Drivers!$C$15)</f>
        <v>92250</v>
      </c>
      <c r="AA61" s="73">
        <f>AA54*(1-Drivers!$C$15)</f>
        <v>123000</v>
      </c>
      <c r="AB61" s="73">
        <f>AB54*(1-Drivers!$C$15)</f>
        <v>129150</v>
      </c>
      <c r="AC61" s="73">
        <f>AC54*(1-Drivers!$C$15)</f>
        <v>129150</v>
      </c>
      <c r="AD61" s="73">
        <f>AD54*(1-Drivers!$C$15)</f>
        <v>172200</v>
      </c>
    </row>
    <row r="62" ht="15.75" customHeight="1">
      <c r="A62" s="46"/>
      <c r="B62" s="46"/>
      <c r="C62" s="68" t="s">
        <v>52</v>
      </c>
      <c r="D62" s="68"/>
      <c r="E62" s="68"/>
      <c r="F62" s="68"/>
      <c r="G62" s="75">
        <f t="shared" ref="G62:AD62" si="29">G60+G59</f>
        <v>250920</v>
      </c>
      <c r="H62" s="75">
        <f t="shared" si="29"/>
        <v>280440</v>
      </c>
      <c r="I62" s="75">
        <f t="shared" si="29"/>
        <v>403440</v>
      </c>
      <c r="J62" s="75">
        <f t="shared" si="29"/>
        <v>354240</v>
      </c>
      <c r="K62" s="75">
        <f t="shared" si="29"/>
        <v>361620</v>
      </c>
      <c r="L62" s="75">
        <f t="shared" si="29"/>
        <v>531360</v>
      </c>
      <c r="M62" s="75">
        <f t="shared" si="29"/>
        <v>553500</v>
      </c>
      <c r="N62" s="75">
        <f t="shared" si="29"/>
        <v>590400</v>
      </c>
      <c r="O62" s="75">
        <f t="shared" si="29"/>
        <v>861000</v>
      </c>
      <c r="P62" s="75">
        <f t="shared" si="29"/>
        <v>929880</v>
      </c>
      <c r="Q62" s="75">
        <f t="shared" si="29"/>
        <v>981540</v>
      </c>
      <c r="R62" s="75">
        <f t="shared" si="29"/>
        <v>1343160</v>
      </c>
      <c r="S62" s="75">
        <f t="shared" si="29"/>
        <v>590400</v>
      </c>
      <c r="T62" s="75">
        <f t="shared" si="29"/>
        <v>590400</v>
      </c>
      <c r="U62" s="75">
        <f t="shared" si="29"/>
        <v>787200</v>
      </c>
      <c r="V62" s="75">
        <f t="shared" si="29"/>
        <v>590400</v>
      </c>
      <c r="W62" s="75">
        <f t="shared" si="29"/>
        <v>590400</v>
      </c>
      <c r="X62" s="75">
        <f t="shared" si="29"/>
        <v>787200</v>
      </c>
      <c r="Y62" s="75">
        <f t="shared" si="29"/>
        <v>738000</v>
      </c>
      <c r="Z62" s="75">
        <f t="shared" si="29"/>
        <v>738000</v>
      </c>
      <c r="AA62" s="75">
        <f t="shared" si="29"/>
        <v>984000</v>
      </c>
      <c r="AB62" s="75">
        <f t="shared" si="29"/>
        <v>1033200</v>
      </c>
      <c r="AC62" s="75">
        <f t="shared" si="29"/>
        <v>1033200</v>
      </c>
      <c r="AD62" s="75">
        <f t="shared" si="29"/>
        <v>1377600</v>
      </c>
    </row>
    <row r="63" ht="9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</row>
    <row r="64" ht="15.75" customHeight="1">
      <c r="A64" s="46"/>
      <c r="B64" s="46"/>
      <c r="C64" s="77" t="s">
        <v>57</v>
      </c>
      <c r="D64" s="77"/>
      <c r="E64" s="77"/>
      <c r="F64" s="77"/>
      <c r="G64" s="77"/>
      <c r="H64" s="77"/>
      <c r="I64" s="78"/>
      <c r="J64" s="77"/>
      <c r="K64" s="77"/>
      <c r="L64" s="78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</row>
    <row r="65" ht="15.7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</row>
    <row r="66" ht="15.75" customHeight="1">
      <c r="A66" s="46"/>
      <c r="B66" s="46"/>
      <c r="C66" s="79" t="s">
        <v>58</v>
      </c>
      <c r="D66" s="79"/>
      <c r="E66" s="79"/>
      <c r="F66" s="79"/>
      <c r="G66" s="80">
        <f t="shared" ref="G66:AD66" si="30">G64+G62</f>
        <v>250920</v>
      </c>
      <c r="H66" s="80">
        <f t="shared" si="30"/>
        <v>280440</v>
      </c>
      <c r="I66" s="80">
        <f t="shared" si="30"/>
        <v>403440</v>
      </c>
      <c r="J66" s="80">
        <f t="shared" si="30"/>
        <v>354240</v>
      </c>
      <c r="K66" s="80">
        <f t="shared" si="30"/>
        <v>361620</v>
      </c>
      <c r="L66" s="80">
        <f t="shared" si="30"/>
        <v>531360</v>
      </c>
      <c r="M66" s="80">
        <f t="shared" si="30"/>
        <v>553500</v>
      </c>
      <c r="N66" s="80">
        <f t="shared" si="30"/>
        <v>590400</v>
      </c>
      <c r="O66" s="80">
        <f t="shared" si="30"/>
        <v>861000</v>
      </c>
      <c r="P66" s="80">
        <f t="shared" si="30"/>
        <v>929880</v>
      </c>
      <c r="Q66" s="80">
        <f t="shared" si="30"/>
        <v>981540</v>
      </c>
      <c r="R66" s="80">
        <f t="shared" si="30"/>
        <v>1343160</v>
      </c>
      <c r="S66" s="80">
        <f t="shared" si="30"/>
        <v>590400</v>
      </c>
      <c r="T66" s="80">
        <f t="shared" si="30"/>
        <v>590400</v>
      </c>
      <c r="U66" s="80">
        <f t="shared" si="30"/>
        <v>787200</v>
      </c>
      <c r="V66" s="80">
        <f t="shared" si="30"/>
        <v>590400</v>
      </c>
      <c r="W66" s="80">
        <f t="shared" si="30"/>
        <v>590400</v>
      </c>
      <c r="X66" s="80">
        <f t="shared" si="30"/>
        <v>787200</v>
      </c>
      <c r="Y66" s="80">
        <f t="shared" si="30"/>
        <v>738000</v>
      </c>
      <c r="Z66" s="80">
        <f t="shared" si="30"/>
        <v>738000</v>
      </c>
      <c r="AA66" s="80">
        <f t="shared" si="30"/>
        <v>984000</v>
      </c>
      <c r="AB66" s="80">
        <f t="shared" si="30"/>
        <v>1033200</v>
      </c>
      <c r="AC66" s="80">
        <f t="shared" si="30"/>
        <v>1033200</v>
      </c>
      <c r="AD66" s="80">
        <f t="shared" si="30"/>
        <v>1377600</v>
      </c>
    </row>
    <row r="67" ht="15.7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</row>
    <row r="68" ht="15.75" customHeight="1">
      <c r="A68" s="46"/>
      <c r="B68" s="58" t="s">
        <v>59</v>
      </c>
      <c r="C68" s="59"/>
      <c r="D68" s="60"/>
      <c r="E68" s="61"/>
      <c r="F68" s="62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</row>
    <row r="69" ht="15.75" customHeight="1">
      <c r="A69" s="46"/>
      <c r="B69" s="81" t="s">
        <v>60</v>
      </c>
      <c r="C69" s="82"/>
      <c r="D69" s="82"/>
      <c r="E69" s="82"/>
      <c r="F69" s="82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</row>
    <row r="70" ht="15.75" customHeight="1">
      <c r="A70" s="46"/>
      <c r="B70" s="46"/>
      <c r="C70" s="46" t="s">
        <v>61</v>
      </c>
      <c r="D70" s="46"/>
      <c r="E70" s="46"/>
      <c r="F70" s="46"/>
      <c r="G70" s="84">
        <v>75000.0</v>
      </c>
      <c r="H70" s="84">
        <v>75000.0</v>
      </c>
      <c r="I70" s="84">
        <v>75000.0</v>
      </c>
      <c r="J70" s="84">
        <v>75000.0</v>
      </c>
      <c r="K70" s="84">
        <v>75000.0</v>
      </c>
      <c r="L70" s="84">
        <v>75000.0</v>
      </c>
      <c r="M70" s="84">
        <v>75000.0</v>
      </c>
      <c r="N70" s="84">
        <v>75000.0</v>
      </c>
      <c r="O70" s="84">
        <v>75000.0</v>
      </c>
      <c r="P70" s="84">
        <v>75000.0</v>
      </c>
      <c r="Q70" s="84">
        <v>75000.0</v>
      </c>
      <c r="R70" s="84">
        <v>75000.0</v>
      </c>
      <c r="S70" s="84">
        <v>75000.0</v>
      </c>
      <c r="T70" s="84">
        <v>75000.0</v>
      </c>
      <c r="U70" s="84">
        <v>75000.0</v>
      </c>
      <c r="V70" s="84">
        <v>75000.0</v>
      </c>
      <c r="W70" s="84">
        <v>75000.0</v>
      </c>
      <c r="X70" s="84">
        <v>75000.0</v>
      </c>
      <c r="Y70" s="84">
        <v>75000.0</v>
      </c>
      <c r="Z70" s="84">
        <v>75000.0</v>
      </c>
      <c r="AA70" s="84">
        <v>75000.0</v>
      </c>
      <c r="AB70" s="84">
        <v>75000.0</v>
      </c>
      <c r="AC70" s="84">
        <v>75000.0</v>
      </c>
      <c r="AD70" s="84">
        <v>75000.0</v>
      </c>
    </row>
    <row r="71" ht="15.75" customHeight="1">
      <c r="A71" s="46"/>
      <c r="B71" s="46"/>
      <c r="C71" s="46" t="s">
        <v>62</v>
      </c>
      <c r="D71" s="46"/>
      <c r="E71" s="46"/>
      <c r="F71" s="46"/>
      <c r="G71" s="46">
        <f t="shared" ref="G71:AD71" si="31">G52/G70</f>
        <v>2.16</v>
      </c>
      <c r="H71" s="46">
        <f t="shared" si="31"/>
        <v>2.4</v>
      </c>
      <c r="I71" s="46">
        <f t="shared" si="31"/>
        <v>3.2</v>
      </c>
      <c r="J71" s="46">
        <f t="shared" si="31"/>
        <v>2.88</v>
      </c>
      <c r="K71" s="46">
        <f t="shared" si="31"/>
        <v>3.12</v>
      </c>
      <c r="L71" s="46">
        <f t="shared" si="31"/>
        <v>4.8</v>
      </c>
      <c r="M71" s="46">
        <f t="shared" si="31"/>
        <v>5.4</v>
      </c>
      <c r="N71" s="46">
        <f t="shared" si="31"/>
        <v>6</v>
      </c>
      <c r="O71" s="46">
        <f t="shared" si="31"/>
        <v>9.2</v>
      </c>
      <c r="P71" s="46">
        <f t="shared" si="31"/>
        <v>10.08</v>
      </c>
      <c r="Q71" s="46">
        <f t="shared" si="31"/>
        <v>10.92</v>
      </c>
      <c r="R71" s="46">
        <f t="shared" si="31"/>
        <v>15.12</v>
      </c>
      <c r="S71" s="46">
        <f t="shared" si="31"/>
        <v>6.72</v>
      </c>
      <c r="T71" s="46">
        <f t="shared" si="31"/>
        <v>6.72</v>
      </c>
      <c r="U71" s="46">
        <f t="shared" si="31"/>
        <v>8.96</v>
      </c>
      <c r="V71" s="46">
        <f t="shared" si="31"/>
        <v>6.72</v>
      </c>
      <c r="W71" s="46">
        <f t="shared" si="31"/>
        <v>6.72</v>
      </c>
      <c r="X71" s="46">
        <f t="shared" si="31"/>
        <v>8.96</v>
      </c>
      <c r="Y71" s="46">
        <f t="shared" si="31"/>
        <v>8.4</v>
      </c>
      <c r="Z71" s="46">
        <f t="shared" si="31"/>
        <v>8.4</v>
      </c>
      <c r="AA71" s="46">
        <f t="shared" si="31"/>
        <v>11.2</v>
      </c>
      <c r="AB71" s="46">
        <f t="shared" si="31"/>
        <v>11.76</v>
      </c>
      <c r="AC71" s="46">
        <f t="shared" si="31"/>
        <v>11.76</v>
      </c>
      <c r="AD71" s="46">
        <f t="shared" si="31"/>
        <v>15.68</v>
      </c>
    </row>
    <row r="72" ht="15.75" customHeight="1">
      <c r="A72" s="46"/>
      <c r="B72" s="46"/>
      <c r="C72" s="46" t="s">
        <v>63</v>
      </c>
      <c r="D72" s="46"/>
      <c r="E72" s="46"/>
      <c r="F72" s="46"/>
      <c r="G72" s="85">
        <v>0.15</v>
      </c>
      <c r="H72" s="85">
        <v>0.15</v>
      </c>
      <c r="I72" s="85">
        <v>0.15</v>
      </c>
      <c r="J72" s="85">
        <v>0.15</v>
      </c>
      <c r="K72" s="85">
        <v>0.15</v>
      </c>
      <c r="L72" s="85">
        <v>0.15</v>
      </c>
      <c r="M72" s="85">
        <v>0.15</v>
      </c>
      <c r="N72" s="85">
        <v>0.15</v>
      </c>
      <c r="O72" s="85">
        <v>0.15</v>
      </c>
      <c r="P72" s="85">
        <v>0.15</v>
      </c>
      <c r="Q72" s="85">
        <v>0.15</v>
      </c>
      <c r="R72" s="85">
        <v>0.15</v>
      </c>
      <c r="S72" s="85">
        <v>0.15</v>
      </c>
      <c r="T72" s="85">
        <v>0.15</v>
      </c>
      <c r="U72" s="85">
        <v>0.15</v>
      </c>
      <c r="V72" s="85">
        <v>0.15</v>
      </c>
      <c r="W72" s="85">
        <v>0.15</v>
      </c>
      <c r="X72" s="85">
        <v>0.15</v>
      </c>
      <c r="Y72" s="85">
        <v>0.15</v>
      </c>
      <c r="Z72" s="85">
        <v>0.15</v>
      </c>
      <c r="AA72" s="85">
        <v>0.15</v>
      </c>
      <c r="AB72" s="85">
        <v>0.15</v>
      </c>
      <c r="AC72" s="85">
        <v>0.15</v>
      </c>
      <c r="AD72" s="85">
        <v>0.15</v>
      </c>
    </row>
    <row r="73" ht="15.75" customHeight="1">
      <c r="A73" s="46"/>
      <c r="B73" s="46"/>
      <c r="C73" s="46" t="s">
        <v>64</v>
      </c>
      <c r="D73" s="46"/>
      <c r="E73" s="46"/>
      <c r="F73" s="46"/>
      <c r="G73" s="73">
        <f>OFFSET(G71,,Drivers!$C$31)/OFFSET(G72,,Drivers!$C$31)</f>
        <v>40</v>
      </c>
      <c r="H73" s="73">
        <f>OFFSET(H71,,Drivers!$C$31)/OFFSET(H72,,Drivers!$C$31)</f>
        <v>61.33333333</v>
      </c>
      <c r="I73" s="73">
        <f>OFFSET(I71,,Drivers!$C$31)/OFFSET(I72,,Drivers!$C$31)</f>
        <v>67.2</v>
      </c>
      <c r="J73" s="73">
        <f>OFFSET(J71,,Drivers!$C$31)/OFFSET(J72,,Drivers!$C$31)</f>
        <v>72.8</v>
      </c>
      <c r="K73" s="73">
        <f>OFFSET(K71,,Drivers!$C$31)/OFFSET(K72,,Drivers!$C$31)</f>
        <v>100.8</v>
      </c>
      <c r="L73" s="73">
        <f>OFFSET(L71,,Drivers!$C$31)/OFFSET(L72,,Drivers!$C$31)</f>
        <v>44.8</v>
      </c>
      <c r="M73" s="73">
        <f>OFFSET(M71,,Drivers!$C$31)/OFFSET(M72,,Drivers!$C$31)</f>
        <v>44.8</v>
      </c>
      <c r="N73" s="73">
        <f>OFFSET(N71,,Drivers!$C$31)/OFFSET(N72,,Drivers!$C$31)</f>
        <v>59.73333333</v>
      </c>
      <c r="O73" s="73">
        <f>OFFSET(O71,,Drivers!$C$31)/OFFSET(O72,,Drivers!$C$31)</f>
        <v>44.8</v>
      </c>
      <c r="P73" s="73">
        <f>OFFSET(P71,,Drivers!$C$31)/OFFSET(P72,,Drivers!$C$31)</f>
        <v>44.8</v>
      </c>
      <c r="Q73" s="73">
        <f>OFFSET(Q71,,Drivers!$C$31)/OFFSET(Q72,,Drivers!$C$31)</f>
        <v>59.73333333</v>
      </c>
      <c r="R73" s="73">
        <f>OFFSET(R71,,Drivers!$C$31)/OFFSET(R72,,Drivers!$C$31)</f>
        <v>56</v>
      </c>
      <c r="S73" s="73">
        <f>OFFSET(S71,,Drivers!$C$31)/OFFSET(S72,,Drivers!$C$31)</f>
        <v>56</v>
      </c>
      <c r="T73" s="73">
        <f>OFFSET(T71,,Drivers!$C$31)/OFFSET(T72,,Drivers!$C$31)</f>
        <v>74.66666667</v>
      </c>
      <c r="U73" s="73">
        <f>OFFSET(U71,,Drivers!$C$31)/OFFSET(U72,,Drivers!$C$31)</f>
        <v>78.4</v>
      </c>
      <c r="V73" s="73">
        <f>OFFSET(V71,,Drivers!$C$31)/OFFSET(V72,,Drivers!$C$31)</f>
        <v>78.4</v>
      </c>
      <c r="W73" s="73">
        <f>OFFSET(W71,,Drivers!$C$31)/OFFSET(W72,,Drivers!$C$31)</f>
        <v>104.5333333</v>
      </c>
      <c r="X73" s="73" t="str">
        <f>OFFSET(X71,,Drivers!$C$31)/OFFSET(X72,,Drivers!$C$31)</f>
        <v>#DIV/0!</v>
      </c>
      <c r="Y73" s="73" t="str">
        <f>OFFSET(Y71,,Drivers!$C$31)/OFFSET(Y72,,Drivers!$C$31)</f>
        <v>#DIV/0!</v>
      </c>
      <c r="Z73" s="73" t="str">
        <f>OFFSET(Z71,,Drivers!$C$31)/OFFSET(Z72,,Drivers!$C$31)</f>
        <v>#DIV/0!</v>
      </c>
      <c r="AA73" s="73" t="str">
        <f>OFFSET(AA71,,Drivers!$C$31)/OFFSET(AA72,,Drivers!$C$31)</f>
        <v>#DIV/0!</v>
      </c>
      <c r="AB73" s="73" t="str">
        <f>OFFSET(AB71,,Drivers!$C$31)/OFFSET(AB72,,Drivers!$C$31)</f>
        <v>#DIV/0!</v>
      </c>
      <c r="AC73" s="73" t="str">
        <f>OFFSET(AC71,,Drivers!$C$31)/OFFSET(AC72,,Drivers!$C$31)</f>
        <v>#DIV/0!</v>
      </c>
      <c r="AD73" s="73" t="str">
        <f>OFFSET(AD71,,Drivers!$C$31)/OFFSET(AD72,,Drivers!$C$31)</f>
        <v>#DIV/0!</v>
      </c>
    </row>
    <row r="74" ht="15.75" customHeight="1">
      <c r="A74" s="46"/>
      <c r="B74" s="46"/>
      <c r="C74" s="86" t="s">
        <v>65</v>
      </c>
      <c r="D74" s="46"/>
      <c r="E74" s="46"/>
      <c r="F74" s="46"/>
      <c r="G74" s="85">
        <v>0.8</v>
      </c>
      <c r="H74" s="85">
        <v>0.8</v>
      </c>
      <c r="I74" s="85">
        <v>0.8</v>
      </c>
      <c r="J74" s="85">
        <v>0.8</v>
      </c>
      <c r="K74" s="85">
        <v>0.8</v>
      </c>
      <c r="L74" s="85">
        <v>0.8</v>
      </c>
      <c r="M74" s="85">
        <v>0.8</v>
      </c>
      <c r="N74" s="85">
        <v>0.8</v>
      </c>
      <c r="O74" s="85">
        <v>0.8</v>
      </c>
      <c r="P74" s="85">
        <v>0.8</v>
      </c>
      <c r="Q74" s="85">
        <v>0.8</v>
      </c>
      <c r="R74" s="85">
        <v>0.8</v>
      </c>
      <c r="S74" s="85">
        <v>0.8</v>
      </c>
      <c r="T74" s="85">
        <v>0.8</v>
      </c>
      <c r="U74" s="85">
        <v>0.8</v>
      </c>
      <c r="V74" s="85">
        <v>0.8</v>
      </c>
      <c r="W74" s="85">
        <v>0.8</v>
      </c>
      <c r="X74" s="85">
        <v>0.8</v>
      </c>
      <c r="Y74" s="85">
        <v>0.8</v>
      </c>
      <c r="Z74" s="85">
        <v>0.8</v>
      </c>
      <c r="AA74" s="85">
        <v>0.8</v>
      </c>
      <c r="AB74" s="85">
        <v>0.8</v>
      </c>
      <c r="AC74" s="85">
        <v>0.8</v>
      </c>
      <c r="AD74" s="85">
        <v>0.8</v>
      </c>
    </row>
    <row r="75" ht="15.75" customHeight="1">
      <c r="A75" s="46"/>
      <c r="B75" s="46"/>
      <c r="C75" s="46" t="s">
        <v>66</v>
      </c>
      <c r="D75" s="46"/>
      <c r="E75" s="46"/>
      <c r="F75" s="46"/>
      <c r="G75" s="73">
        <f>OFFSET(G73,,Drivers!$C$34)/OFFSET(G74,,Drivers!$C$34)</f>
        <v>76.66666667</v>
      </c>
      <c r="H75" s="73">
        <f>OFFSET(H73,,Drivers!$C$34)/OFFSET(H74,,Drivers!$C$34)</f>
        <v>84</v>
      </c>
      <c r="I75" s="73">
        <f>OFFSET(I73,,Drivers!$C$34)/OFFSET(I74,,Drivers!$C$34)</f>
        <v>91</v>
      </c>
      <c r="J75" s="73">
        <f>OFFSET(J73,,Drivers!$C$34)/OFFSET(J74,,Drivers!$C$34)</f>
        <v>126</v>
      </c>
      <c r="K75" s="73">
        <f>OFFSET(K73,,Drivers!$C$34)/OFFSET(K74,,Drivers!$C$34)</f>
        <v>56</v>
      </c>
      <c r="L75" s="73">
        <f>OFFSET(L73,,Drivers!$C$34)/OFFSET(L74,,Drivers!$C$34)</f>
        <v>56</v>
      </c>
      <c r="M75" s="73">
        <f>OFFSET(M73,,Drivers!$C$34)/OFFSET(M74,,Drivers!$C$34)</f>
        <v>74.66666667</v>
      </c>
      <c r="N75" s="73">
        <f>OFFSET(N73,,Drivers!$C$34)/OFFSET(N74,,Drivers!$C$34)</f>
        <v>56</v>
      </c>
      <c r="O75" s="73">
        <f>OFFSET(O73,,Drivers!$C$34)/OFFSET(O74,,Drivers!$C$34)</f>
        <v>56</v>
      </c>
      <c r="P75" s="73">
        <f>OFFSET(P73,,Drivers!$C$34)/OFFSET(P74,,Drivers!$C$34)</f>
        <v>74.66666667</v>
      </c>
      <c r="Q75" s="73">
        <f>OFFSET(Q73,,Drivers!$C$34)/OFFSET(Q74,,Drivers!$C$34)</f>
        <v>70</v>
      </c>
      <c r="R75" s="73">
        <f>OFFSET(R73,,Drivers!$C$34)/OFFSET(R74,,Drivers!$C$34)</f>
        <v>70</v>
      </c>
      <c r="S75" s="73">
        <f>OFFSET(S73,,Drivers!$C$34)/OFFSET(S74,,Drivers!$C$34)</f>
        <v>93.33333333</v>
      </c>
      <c r="T75" s="73">
        <f>OFFSET(T73,,Drivers!$C$34)/OFFSET(T74,,Drivers!$C$34)</f>
        <v>98</v>
      </c>
      <c r="U75" s="73">
        <f>OFFSET(U73,,Drivers!$C$34)/OFFSET(U74,,Drivers!$C$34)</f>
        <v>98</v>
      </c>
      <c r="V75" s="73">
        <f>OFFSET(V73,,Drivers!$C$34)/OFFSET(V74,,Drivers!$C$34)</f>
        <v>130.6666667</v>
      </c>
      <c r="W75" s="73" t="str">
        <f>OFFSET(W73,,Drivers!$C$34)/OFFSET(W74,,Drivers!$C$34)</f>
        <v>#DIV/0!</v>
      </c>
      <c r="X75" s="73" t="str">
        <f>OFFSET(X73,,Drivers!$C$34)/OFFSET(X74,,Drivers!$C$34)</f>
        <v>#DIV/0!</v>
      </c>
      <c r="Y75" s="73" t="str">
        <f>OFFSET(Y73,,Drivers!$C$34)/OFFSET(Y74,,Drivers!$C$34)</f>
        <v>#DIV/0!</v>
      </c>
      <c r="Z75" s="73" t="str">
        <f>OFFSET(Z73,,Drivers!$C$34)/OFFSET(Z74,,Drivers!$C$34)</f>
        <v>#DIV/0!</v>
      </c>
      <c r="AA75" s="73" t="str">
        <f>OFFSET(AA73,,Drivers!$C$34)/OFFSET(AA74,,Drivers!$C$34)</f>
        <v>#DIV/0!</v>
      </c>
      <c r="AB75" s="73" t="str">
        <f>OFFSET(AB73,,Drivers!$C$34)/OFFSET(AB74,,Drivers!$C$34)</f>
        <v>#DIV/0!</v>
      </c>
      <c r="AC75" s="73" t="str">
        <f>OFFSET(AC73,,Drivers!$C$34)/OFFSET(AC74,,Drivers!$C$34)</f>
        <v>#DIV/0!</v>
      </c>
      <c r="AD75" s="73" t="str">
        <f>OFFSET(AD73,,Drivers!$C$34)/OFFSET(AD74,,Drivers!$C$34)</f>
        <v>#DIV/0!</v>
      </c>
    </row>
    <row r="76" ht="15.7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</row>
    <row r="77" ht="15.75" customHeight="1">
      <c r="A77" s="46"/>
      <c r="B77" s="87" t="s">
        <v>67</v>
      </c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</row>
    <row r="78" ht="15.75" customHeight="1">
      <c r="A78" s="46"/>
      <c r="B78" s="85">
        <v>0.3</v>
      </c>
      <c r="C78" s="46" t="s">
        <v>68</v>
      </c>
      <c r="D78" s="46"/>
      <c r="E78" s="46"/>
      <c r="F78" s="46"/>
      <c r="G78" s="88">
        <f t="shared" ref="G78:AD78" si="32">G$73*$B78</f>
        <v>12</v>
      </c>
      <c r="H78" s="88">
        <f t="shared" si="32"/>
        <v>18.4</v>
      </c>
      <c r="I78" s="88">
        <f t="shared" si="32"/>
        <v>20.16</v>
      </c>
      <c r="J78" s="88">
        <f t="shared" si="32"/>
        <v>21.84</v>
      </c>
      <c r="K78" s="88">
        <f t="shared" si="32"/>
        <v>30.24</v>
      </c>
      <c r="L78" s="88">
        <f t="shared" si="32"/>
        <v>13.44</v>
      </c>
      <c r="M78" s="88">
        <f t="shared" si="32"/>
        <v>13.44</v>
      </c>
      <c r="N78" s="88">
        <f t="shared" si="32"/>
        <v>17.92</v>
      </c>
      <c r="O78" s="88">
        <f t="shared" si="32"/>
        <v>13.44</v>
      </c>
      <c r="P78" s="88">
        <f t="shared" si="32"/>
        <v>13.44</v>
      </c>
      <c r="Q78" s="88">
        <f t="shared" si="32"/>
        <v>17.92</v>
      </c>
      <c r="R78" s="88">
        <f t="shared" si="32"/>
        <v>16.8</v>
      </c>
      <c r="S78" s="88">
        <f t="shared" si="32"/>
        <v>16.8</v>
      </c>
      <c r="T78" s="88">
        <f t="shared" si="32"/>
        <v>22.4</v>
      </c>
      <c r="U78" s="88">
        <f t="shared" si="32"/>
        <v>23.52</v>
      </c>
      <c r="V78" s="88">
        <f t="shared" si="32"/>
        <v>23.52</v>
      </c>
      <c r="W78" s="88">
        <f t="shared" si="32"/>
        <v>31.36</v>
      </c>
      <c r="X78" s="88" t="str">
        <f t="shared" si="32"/>
        <v>#DIV/0!</v>
      </c>
      <c r="Y78" s="88" t="str">
        <f t="shared" si="32"/>
        <v>#DIV/0!</v>
      </c>
      <c r="Z78" s="88" t="str">
        <f t="shared" si="32"/>
        <v>#DIV/0!</v>
      </c>
      <c r="AA78" s="88" t="str">
        <f t="shared" si="32"/>
        <v>#DIV/0!</v>
      </c>
      <c r="AB78" s="88" t="str">
        <f t="shared" si="32"/>
        <v>#DIV/0!</v>
      </c>
      <c r="AC78" s="88" t="str">
        <f t="shared" si="32"/>
        <v>#DIV/0!</v>
      </c>
      <c r="AD78" s="88" t="str">
        <f t="shared" si="32"/>
        <v>#DIV/0!</v>
      </c>
    </row>
    <row r="79" ht="15.75" customHeight="1">
      <c r="A79" s="46"/>
      <c r="B79" s="85">
        <v>0.4</v>
      </c>
      <c r="C79" s="46" t="s">
        <v>69</v>
      </c>
      <c r="D79" s="46"/>
      <c r="E79" s="46"/>
      <c r="F79" s="46"/>
      <c r="G79" s="88">
        <f t="shared" ref="G79:AD79" si="33">G$73*$B79</f>
        <v>16</v>
      </c>
      <c r="H79" s="88">
        <f t="shared" si="33"/>
        <v>24.53333333</v>
      </c>
      <c r="I79" s="88">
        <f t="shared" si="33"/>
        <v>26.88</v>
      </c>
      <c r="J79" s="88">
        <f t="shared" si="33"/>
        <v>29.12</v>
      </c>
      <c r="K79" s="88">
        <f t="shared" si="33"/>
        <v>40.32</v>
      </c>
      <c r="L79" s="88">
        <f t="shared" si="33"/>
        <v>17.92</v>
      </c>
      <c r="M79" s="88">
        <f t="shared" si="33"/>
        <v>17.92</v>
      </c>
      <c r="N79" s="88">
        <f t="shared" si="33"/>
        <v>23.89333333</v>
      </c>
      <c r="O79" s="88">
        <f t="shared" si="33"/>
        <v>17.92</v>
      </c>
      <c r="P79" s="88">
        <f t="shared" si="33"/>
        <v>17.92</v>
      </c>
      <c r="Q79" s="88">
        <f t="shared" si="33"/>
        <v>23.89333333</v>
      </c>
      <c r="R79" s="88">
        <f t="shared" si="33"/>
        <v>22.4</v>
      </c>
      <c r="S79" s="88">
        <f t="shared" si="33"/>
        <v>22.4</v>
      </c>
      <c r="T79" s="88">
        <f t="shared" si="33"/>
        <v>29.86666667</v>
      </c>
      <c r="U79" s="88">
        <f t="shared" si="33"/>
        <v>31.36</v>
      </c>
      <c r="V79" s="88">
        <f t="shared" si="33"/>
        <v>31.36</v>
      </c>
      <c r="W79" s="88">
        <f t="shared" si="33"/>
        <v>41.81333333</v>
      </c>
      <c r="X79" s="88" t="str">
        <f t="shared" si="33"/>
        <v>#DIV/0!</v>
      </c>
      <c r="Y79" s="88" t="str">
        <f t="shared" si="33"/>
        <v>#DIV/0!</v>
      </c>
      <c r="Z79" s="88" t="str">
        <f t="shared" si="33"/>
        <v>#DIV/0!</v>
      </c>
      <c r="AA79" s="88" t="str">
        <f t="shared" si="33"/>
        <v>#DIV/0!</v>
      </c>
      <c r="AB79" s="88" t="str">
        <f t="shared" si="33"/>
        <v>#DIV/0!</v>
      </c>
      <c r="AC79" s="88" t="str">
        <f t="shared" si="33"/>
        <v>#DIV/0!</v>
      </c>
      <c r="AD79" s="88" t="str">
        <f t="shared" si="33"/>
        <v>#DIV/0!</v>
      </c>
    </row>
    <row r="80" ht="15.75" customHeight="1">
      <c r="A80" s="46"/>
      <c r="B80" s="85">
        <v>0.15</v>
      </c>
      <c r="C80" s="46" t="s">
        <v>70</v>
      </c>
      <c r="D80" s="46"/>
      <c r="E80" s="46"/>
      <c r="F80" s="46"/>
      <c r="G80" s="88">
        <f t="shared" ref="G80:AD80" si="34">G$73*$B80</f>
        <v>6</v>
      </c>
      <c r="H80" s="88">
        <f t="shared" si="34"/>
        <v>9.2</v>
      </c>
      <c r="I80" s="88">
        <f t="shared" si="34"/>
        <v>10.08</v>
      </c>
      <c r="J80" s="88">
        <f t="shared" si="34"/>
        <v>10.92</v>
      </c>
      <c r="K80" s="88">
        <f t="shared" si="34"/>
        <v>15.12</v>
      </c>
      <c r="L80" s="88">
        <f t="shared" si="34"/>
        <v>6.72</v>
      </c>
      <c r="M80" s="88">
        <f t="shared" si="34"/>
        <v>6.72</v>
      </c>
      <c r="N80" s="88">
        <f t="shared" si="34"/>
        <v>8.96</v>
      </c>
      <c r="O80" s="88">
        <f t="shared" si="34"/>
        <v>6.72</v>
      </c>
      <c r="P80" s="88">
        <f t="shared" si="34"/>
        <v>6.72</v>
      </c>
      <c r="Q80" s="88">
        <f t="shared" si="34"/>
        <v>8.96</v>
      </c>
      <c r="R80" s="88">
        <f t="shared" si="34"/>
        <v>8.4</v>
      </c>
      <c r="S80" s="88">
        <f t="shared" si="34"/>
        <v>8.4</v>
      </c>
      <c r="T80" s="88">
        <f t="shared" si="34"/>
        <v>11.2</v>
      </c>
      <c r="U80" s="88">
        <f t="shared" si="34"/>
        <v>11.76</v>
      </c>
      <c r="V80" s="88">
        <f t="shared" si="34"/>
        <v>11.76</v>
      </c>
      <c r="W80" s="88">
        <f t="shared" si="34"/>
        <v>15.68</v>
      </c>
      <c r="X80" s="88" t="str">
        <f t="shared" si="34"/>
        <v>#DIV/0!</v>
      </c>
      <c r="Y80" s="88" t="str">
        <f t="shared" si="34"/>
        <v>#DIV/0!</v>
      </c>
      <c r="Z80" s="88" t="str">
        <f t="shared" si="34"/>
        <v>#DIV/0!</v>
      </c>
      <c r="AA80" s="88" t="str">
        <f t="shared" si="34"/>
        <v>#DIV/0!</v>
      </c>
      <c r="AB80" s="88" t="str">
        <f t="shared" si="34"/>
        <v>#DIV/0!</v>
      </c>
      <c r="AC80" s="88" t="str">
        <f t="shared" si="34"/>
        <v>#DIV/0!</v>
      </c>
      <c r="AD80" s="88" t="str">
        <f t="shared" si="34"/>
        <v>#DIV/0!</v>
      </c>
    </row>
    <row r="81" ht="15.75" customHeight="1">
      <c r="A81" s="46"/>
      <c r="B81" s="85">
        <v>0.15</v>
      </c>
      <c r="C81" s="46" t="s">
        <v>71</v>
      </c>
      <c r="D81" s="46"/>
      <c r="E81" s="46"/>
      <c r="F81" s="46"/>
      <c r="G81" s="88">
        <f t="shared" ref="G81:AD81" si="35">G$73*$B81</f>
        <v>6</v>
      </c>
      <c r="H81" s="88">
        <f t="shared" si="35"/>
        <v>9.2</v>
      </c>
      <c r="I81" s="88">
        <f t="shared" si="35"/>
        <v>10.08</v>
      </c>
      <c r="J81" s="88">
        <f t="shared" si="35"/>
        <v>10.92</v>
      </c>
      <c r="K81" s="88">
        <f t="shared" si="35"/>
        <v>15.12</v>
      </c>
      <c r="L81" s="88">
        <f t="shared" si="35"/>
        <v>6.72</v>
      </c>
      <c r="M81" s="88">
        <f t="shared" si="35"/>
        <v>6.72</v>
      </c>
      <c r="N81" s="88">
        <f t="shared" si="35"/>
        <v>8.96</v>
      </c>
      <c r="O81" s="88">
        <f t="shared" si="35"/>
        <v>6.72</v>
      </c>
      <c r="P81" s="88">
        <f t="shared" si="35"/>
        <v>6.72</v>
      </c>
      <c r="Q81" s="88">
        <f t="shared" si="35"/>
        <v>8.96</v>
      </c>
      <c r="R81" s="88">
        <f t="shared" si="35"/>
        <v>8.4</v>
      </c>
      <c r="S81" s="88">
        <f t="shared" si="35"/>
        <v>8.4</v>
      </c>
      <c r="T81" s="88">
        <f t="shared" si="35"/>
        <v>11.2</v>
      </c>
      <c r="U81" s="88">
        <f t="shared" si="35"/>
        <v>11.76</v>
      </c>
      <c r="V81" s="88">
        <f t="shared" si="35"/>
        <v>11.76</v>
      </c>
      <c r="W81" s="88">
        <f t="shared" si="35"/>
        <v>15.68</v>
      </c>
      <c r="X81" s="88" t="str">
        <f t="shared" si="35"/>
        <v>#DIV/0!</v>
      </c>
      <c r="Y81" s="88" t="str">
        <f t="shared" si="35"/>
        <v>#DIV/0!</v>
      </c>
      <c r="Z81" s="88" t="str">
        <f t="shared" si="35"/>
        <v>#DIV/0!</v>
      </c>
      <c r="AA81" s="88" t="str">
        <f t="shared" si="35"/>
        <v>#DIV/0!</v>
      </c>
      <c r="AB81" s="88" t="str">
        <f t="shared" si="35"/>
        <v>#DIV/0!</v>
      </c>
      <c r="AC81" s="88" t="str">
        <f t="shared" si="35"/>
        <v>#DIV/0!</v>
      </c>
      <c r="AD81" s="88" t="str">
        <f t="shared" si="35"/>
        <v>#DIV/0!</v>
      </c>
    </row>
    <row r="82" ht="15.75" customHeight="1">
      <c r="A82" s="46"/>
      <c r="B82" s="46"/>
      <c r="C82" s="68" t="s">
        <v>72</v>
      </c>
      <c r="D82" s="68"/>
      <c r="E82" s="68"/>
      <c r="F82" s="68"/>
      <c r="G82" s="89">
        <f t="shared" ref="G82:AD82" si="36">SUM(G78:G81)</f>
        <v>40</v>
      </c>
      <c r="H82" s="89">
        <f t="shared" si="36"/>
        <v>61.33333333</v>
      </c>
      <c r="I82" s="89">
        <f t="shared" si="36"/>
        <v>67.2</v>
      </c>
      <c r="J82" s="89">
        <f t="shared" si="36"/>
        <v>72.8</v>
      </c>
      <c r="K82" s="89">
        <f t="shared" si="36"/>
        <v>100.8</v>
      </c>
      <c r="L82" s="89">
        <f t="shared" si="36"/>
        <v>44.8</v>
      </c>
      <c r="M82" s="89">
        <f t="shared" si="36"/>
        <v>44.8</v>
      </c>
      <c r="N82" s="89">
        <f t="shared" si="36"/>
        <v>59.73333333</v>
      </c>
      <c r="O82" s="89">
        <f t="shared" si="36"/>
        <v>44.8</v>
      </c>
      <c r="P82" s="89">
        <f t="shared" si="36"/>
        <v>44.8</v>
      </c>
      <c r="Q82" s="89">
        <f t="shared" si="36"/>
        <v>59.73333333</v>
      </c>
      <c r="R82" s="89">
        <f t="shared" si="36"/>
        <v>56</v>
      </c>
      <c r="S82" s="89">
        <f t="shared" si="36"/>
        <v>56</v>
      </c>
      <c r="T82" s="89">
        <f t="shared" si="36"/>
        <v>74.66666667</v>
      </c>
      <c r="U82" s="89">
        <f t="shared" si="36"/>
        <v>78.4</v>
      </c>
      <c r="V82" s="89">
        <f t="shared" si="36"/>
        <v>78.4</v>
      </c>
      <c r="W82" s="89">
        <f t="shared" si="36"/>
        <v>104.5333333</v>
      </c>
      <c r="X82" s="89" t="str">
        <f t="shared" si="36"/>
        <v>#DIV/0!</v>
      </c>
      <c r="Y82" s="89" t="str">
        <f t="shared" si="36"/>
        <v>#DIV/0!</v>
      </c>
      <c r="Z82" s="89" t="str">
        <f t="shared" si="36"/>
        <v>#DIV/0!</v>
      </c>
      <c r="AA82" s="89" t="str">
        <f t="shared" si="36"/>
        <v>#DIV/0!</v>
      </c>
      <c r="AB82" s="89" t="str">
        <f t="shared" si="36"/>
        <v>#DIV/0!</v>
      </c>
      <c r="AC82" s="89" t="str">
        <f t="shared" si="36"/>
        <v>#DIV/0!</v>
      </c>
      <c r="AD82" s="89" t="str">
        <f t="shared" si="36"/>
        <v>#DIV/0!</v>
      </c>
    </row>
    <row r="83" ht="15.75" customHeight="1">
      <c r="A83" s="46"/>
      <c r="B83" s="90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 ht="15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</row>
    <row r="85" ht="15.75" customHeight="1">
      <c r="A85" s="46"/>
      <c r="B85" s="81" t="s">
        <v>73</v>
      </c>
      <c r="C85" s="82"/>
      <c r="D85" s="82"/>
      <c r="E85" s="82"/>
      <c r="F85" s="82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</row>
    <row r="86" ht="15.75" customHeight="1">
      <c r="A86" s="46"/>
      <c r="B86" s="46"/>
      <c r="C86" s="46" t="s">
        <v>61</v>
      </c>
      <c r="D86" s="46"/>
      <c r="E86" s="46"/>
      <c r="F86" s="46"/>
      <c r="G86" s="84">
        <v>30000.0</v>
      </c>
      <c r="H86" s="84">
        <v>30000.0</v>
      </c>
      <c r="I86" s="84">
        <v>30000.0</v>
      </c>
      <c r="J86" s="84">
        <v>30000.0</v>
      </c>
      <c r="K86" s="84">
        <v>30000.0</v>
      </c>
      <c r="L86" s="84">
        <v>30000.0</v>
      </c>
      <c r="M86" s="84">
        <v>30000.0</v>
      </c>
      <c r="N86" s="84">
        <v>30000.0</v>
      </c>
      <c r="O86" s="84">
        <v>30000.0</v>
      </c>
      <c r="P86" s="84">
        <v>30000.0</v>
      </c>
      <c r="Q86" s="84">
        <v>30000.0</v>
      </c>
      <c r="R86" s="84">
        <v>30000.0</v>
      </c>
      <c r="S86" s="84">
        <v>30000.0</v>
      </c>
      <c r="T86" s="84">
        <v>30000.0</v>
      </c>
      <c r="U86" s="84">
        <v>30000.0</v>
      </c>
      <c r="V86" s="84">
        <v>30000.0</v>
      </c>
      <c r="W86" s="84">
        <v>30000.0</v>
      </c>
      <c r="X86" s="84">
        <v>30000.0</v>
      </c>
      <c r="Y86" s="84">
        <v>30000.0</v>
      </c>
      <c r="Z86" s="84">
        <v>30000.0</v>
      </c>
      <c r="AA86" s="84">
        <v>30000.0</v>
      </c>
      <c r="AB86" s="84">
        <v>30000.0</v>
      </c>
      <c r="AC86" s="84">
        <v>30000.0</v>
      </c>
      <c r="AD86" s="84">
        <v>30000.0</v>
      </c>
    </row>
    <row r="87" ht="15.75" customHeight="1">
      <c r="A87" s="46"/>
      <c r="B87" s="46"/>
      <c r="C87" s="46" t="s">
        <v>62</v>
      </c>
      <c r="D87" s="46"/>
      <c r="E87" s="46"/>
      <c r="F87" s="46"/>
      <c r="G87" s="88">
        <f t="shared" ref="G87:AD87" si="37">(G60+G61)/G86</f>
        <v>3.936</v>
      </c>
      <c r="H87" s="88">
        <f t="shared" si="37"/>
        <v>4.428</v>
      </c>
      <c r="I87" s="88">
        <f t="shared" si="37"/>
        <v>6.888</v>
      </c>
      <c r="J87" s="88">
        <f t="shared" si="37"/>
        <v>6.519</v>
      </c>
      <c r="K87" s="88">
        <f t="shared" si="37"/>
        <v>6.5805</v>
      </c>
      <c r="L87" s="88">
        <f t="shared" si="37"/>
        <v>9.512</v>
      </c>
      <c r="M87" s="88">
        <f t="shared" si="37"/>
        <v>8.9175</v>
      </c>
      <c r="N87" s="88">
        <f t="shared" si="37"/>
        <v>8.9175</v>
      </c>
      <c r="O87" s="88">
        <f t="shared" si="37"/>
        <v>11.89</v>
      </c>
      <c r="P87" s="88">
        <f t="shared" si="37"/>
        <v>12.4845</v>
      </c>
      <c r="Q87" s="88">
        <f t="shared" si="37"/>
        <v>12.4845</v>
      </c>
      <c r="R87" s="88">
        <f t="shared" si="37"/>
        <v>16.646</v>
      </c>
      <c r="S87" s="88">
        <f t="shared" si="37"/>
        <v>7.749</v>
      </c>
      <c r="T87" s="88">
        <f t="shared" si="37"/>
        <v>8.0565</v>
      </c>
      <c r="U87" s="88">
        <f t="shared" si="37"/>
        <v>11.152</v>
      </c>
      <c r="V87" s="88">
        <f t="shared" si="37"/>
        <v>8.364</v>
      </c>
      <c r="W87" s="88">
        <f t="shared" si="37"/>
        <v>8.364</v>
      </c>
      <c r="X87" s="88">
        <f t="shared" si="37"/>
        <v>11.152</v>
      </c>
      <c r="Y87" s="88">
        <f t="shared" si="37"/>
        <v>10.455</v>
      </c>
      <c r="Z87" s="88">
        <f t="shared" si="37"/>
        <v>10.455</v>
      </c>
      <c r="AA87" s="88">
        <f t="shared" si="37"/>
        <v>13.94</v>
      </c>
      <c r="AB87" s="88">
        <f t="shared" si="37"/>
        <v>14.637</v>
      </c>
      <c r="AC87" s="88">
        <f t="shared" si="37"/>
        <v>14.637</v>
      </c>
      <c r="AD87" s="88">
        <f t="shared" si="37"/>
        <v>19.516</v>
      </c>
    </row>
    <row r="88" ht="15.75" customHeight="1">
      <c r="A88" s="46"/>
      <c r="B88" s="46"/>
      <c r="C88" s="46" t="s">
        <v>63</v>
      </c>
      <c r="D88" s="46"/>
      <c r="E88" s="46"/>
      <c r="F88" s="46"/>
      <c r="G88" s="85">
        <v>0.12</v>
      </c>
      <c r="H88" s="85">
        <v>0.12</v>
      </c>
      <c r="I88" s="85">
        <v>0.12</v>
      </c>
      <c r="J88" s="85">
        <v>0.12</v>
      </c>
      <c r="K88" s="85">
        <v>0.12</v>
      </c>
      <c r="L88" s="85">
        <v>0.12</v>
      </c>
      <c r="M88" s="85">
        <v>0.12</v>
      </c>
      <c r="N88" s="85">
        <v>0.12</v>
      </c>
      <c r="O88" s="85">
        <v>0.12</v>
      </c>
      <c r="P88" s="85">
        <v>0.12</v>
      </c>
      <c r="Q88" s="85">
        <v>0.12</v>
      </c>
      <c r="R88" s="85">
        <v>0.12</v>
      </c>
      <c r="S88" s="85">
        <v>0.12</v>
      </c>
      <c r="T88" s="85">
        <v>0.12</v>
      </c>
      <c r="U88" s="85">
        <v>0.12</v>
      </c>
      <c r="V88" s="85">
        <v>0.12</v>
      </c>
      <c r="W88" s="85">
        <v>0.12</v>
      </c>
      <c r="X88" s="85">
        <v>0.12</v>
      </c>
      <c r="Y88" s="85">
        <v>0.12</v>
      </c>
      <c r="Z88" s="85">
        <v>0.12</v>
      </c>
      <c r="AA88" s="85">
        <v>0.12</v>
      </c>
      <c r="AB88" s="85">
        <v>0.12</v>
      </c>
      <c r="AC88" s="85">
        <v>0.12</v>
      </c>
      <c r="AD88" s="85">
        <v>0.12</v>
      </c>
    </row>
    <row r="89" ht="15.75" customHeight="1">
      <c r="A89" s="46"/>
      <c r="B89" s="46"/>
      <c r="C89" s="46" t="s">
        <v>64</v>
      </c>
      <c r="D89" s="46"/>
      <c r="E89" s="46"/>
      <c r="F89" s="46"/>
      <c r="G89" s="73">
        <f>OFFSET(G87,,Drivers!$C$32)/OFFSET(G88,,Drivers!$C$32)</f>
        <v>54.325</v>
      </c>
      <c r="H89" s="73">
        <f>OFFSET(H87,,Drivers!$C$32)/OFFSET(H88,,Drivers!$C$32)</f>
        <v>54.8375</v>
      </c>
      <c r="I89" s="73">
        <f>OFFSET(I87,,Drivers!$C$32)/OFFSET(I88,,Drivers!$C$32)</f>
        <v>79.26666667</v>
      </c>
      <c r="J89" s="73">
        <f>OFFSET(J87,,Drivers!$C$32)/OFFSET(J88,,Drivers!$C$32)</f>
        <v>74.3125</v>
      </c>
      <c r="K89" s="73">
        <f>OFFSET(K87,,Drivers!$C$32)/OFFSET(K88,,Drivers!$C$32)</f>
        <v>74.3125</v>
      </c>
      <c r="L89" s="73">
        <f>OFFSET(L87,,Drivers!$C$32)/OFFSET(L88,,Drivers!$C$32)</f>
        <v>99.08333333</v>
      </c>
      <c r="M89" s="73">
        <f>OFFSET(M87,,Drivers!$C$32)/OFFSET(M88,,Drivers!$C$32)</f>
        <v>104.0375</v>
      </c>
      <c r="N89" s="73">
        <f>OFFSET(N87,,Drivers!$C$32)/OFFSET(N88,,Drivers!$C$32)</f>
        <v>104.0375</v>
      </c>
      <c r="O89" s="73">
        <f>OFFSET(O87,,Drivers!$C$32)/OFFSET(O88,,Drivers!$C$32)</f>
        <v>138.7166667</v>
      </c>
      <c r="P89" s="73">
        <f>OFFSET(P87,,Drivers!$C$32)/OFFSET(P88,,Drivers!$C$32)</f>
        <v>64.575</v>
      </c>
      <c r="Q89" s="73">
        <f>OFFSET(Q87,,Drivers!$C$32)/OFFSET(Q88,,Drivers!$C$32)</f>
        <v>67.1375</v>
      </c>
      <c r="R89" s="73">
        <f>OFFSET(R87,,Drivers!$C$32)/OFFSET(R88,,Drivers!$C$32)</f>
        <v>92.93333333</v>
      </c>
      <c r="S89" s="73">
        <f>OFFSET(S87,,Drivers!$C$32)/OFFSET(S88,,Drivers!$C$32)</f>
        <v>69.7</v>
      </c>
      <c r="T89" s="73">
        <f>OFFSET(T87,,Drivers!$C$32)/OFFSET(T88,,Drivers!$C$32)</f>
        <v>69.7</v>
      </c>
      <c r="U89" s="73">
        <f>OFFSET(U87,,Drivers!$C$32)/OFFSET(U88,,Drivers!$C$32)</f>
        <v>92.93333333</v>
      </c>
      <c r="V89" s="73">
        <f>OFFSET(V87,,Drivers!$C$32)/OFFSET(V88,,Drivers!$C$32)</f>
        <v>87.125</v>
      </c>
      <c r="W89" s="73">
        <f>OFFSET(W87,,Drivers!$C$32)/OFFSET(W88,,Drivers!$C$32)</f>
        <v>87.125</v>
      </c>
      <c r="X89" s="73">
        <f>OFFSET(X87,,Drivers!$C$32)/OFFSET(X88,,Drivers!$C$32)</f>
        <v>116.1666667</v>
      </c>
      <c r="Y89" s="73">
        <f>OFFSET(Y87,,Drivers!$C$32)/OFFSET(Y88,,Drivers!$C$32)</f>
        <v>121.975</v>
      </c>
      <c r="Z89" s="73">
        <f>OFFSET(Z87,,Drivers!$C$32)/OFFSET(Z88,,Drivers!$C$32)</f>
        <v>121.975</v>
      </c>
      <c r="AA89" s="73">
        <f>OFFSET(AA87,,Drivers!$C$32)/OFFSET(AA88,,Drivers!$C$32)</f>
        <v>162.6333333</v>
      </c>
      <c r="AB89" s="73" t="str">
        <f>OFFSET(AB87,,Drivers!$C$32)/OFFSET(AB88,,Drivers!$C$32)</f>
        <v>#DIV/0!</v>
      </c>
      <c r="AC89" s="73" t="str">
        <f>OFFSET(AC87,,Drivers!$C$32)/OFFSET(AC88,,Drivers!$C$32)</f>
        <v>#DIV/0!</v>
      </c>
      <c r="AD89" s="73" t="str">
        <f>OFFSET(AD87,,Drivers!$C$32)/OFFSET(AD88,,Drivers!$C$32)</f>
        <v>#DIV/0!</v>
      </c>
    </row>
    <row r="90" ht="15.75" customHeight="1">
      <c r="A90" s="46"/>
      <c r="B90" s="46"/>
      <c r="C90" s="86" t="s">
        <v>65</v>
      </c>
      <c r="D90" s="46"/>
      <c r="E90" s="46"/>
      <c r="F90" s="46"/>
      <c r="G90" s="85">
        <v>0.8</v>
      </c>
      <c r="H90" s="85">
        <v>0.7</v>
      </c>
      <c r="I90" s="85">
        <v>0.7</v>
      </c>
      <c r="J90" s="85">
        <v>0.7</v>
      </c>
      <c r="K90" s="85">
        <v>0.7</v>
      </c>
      <c r="L90" s="85">
        <v>0.7</v>
      </c>
      <c r="M90" s="85">
        <v>0.7</v>
      </c>
      <c r="N90" s="85">
        <v>0.7</v>
      </c>
      <c r="O90" s="85">
        <v>0.7</v>
      </c>
      <c r="P90" s="85">
        <v>0.7</v>
      </c>
      <c r="Q90" s="85">
        <v>0.7</v>
      </c>
      <c r="R90" s="85">
        <v>0.7</v>
      </c>
      <c r="S90" s="85">
        <v>0.7</v>
      </c>
      <c r="T90" s="85">
        <v>0.7</v>
      </c>
      <c r="U90" s="85">
        <v>0.7</v>
      </c>
      <c r="V90" s="85">
        <v>0.7</v>
      </c>
      <c r="W90" s="85">
        <v>0.7</v>
      </c>
      <c r="X90" s="85">
        <v>0.7</v>
      </c>
      <c r="Y90" s="85">
        <v>0.7</v>
      </c>
      <c r="Z90" s="85">
        <v>0.7</v>
      </c>
      <c r="AA90" s="85">
        <v>0.7</v>
      </c>
      <c r="AB90" s="85">
        <v>0.7</v>
      </c>
      <c r="AC90" s="85">
        <v>0.7</v>
      </c>
      <c r="AD90" s="85">
        <v>0.7</v>
      </c>
    </row>
    <row r="91" ht="15.75" customHeight="1">
      <c r="A91" s="46"/>
      <c r="B91" s="46"/>
      <c r="C91" s="46" t="s">
        <v>66</v>
      </c>
      <c r="D91" s="46"/>
      <c r="E91" s="46"/>
      <c r="F91" s="46"/>
      <c r="G91" s="73">
        <f>OFFSET(G89,,Drivers!$C$35)/OFFSET(G90,,Drivers!$C$35)</f>
        <v>78.33928571</v>
      </c>
      <c r="H91" s="73">
        <f>OFFSET(H89,,Drivers!$C$35)/OFFSET(H90,,Drivers!$C$35)</f>
        <v>113.2380952</v>
      </c>
      <c r="I91" s="73">
        <f>OFFSET(I89,,Drivers!$C$35)/OFFSET(I90,,Drivers!$C$35)</f>
        <v>106.1607143</v>
      </c>
      <c r="J91" s="73">
        <f>OFFSET(J89,,Drivers!$C$35)/OFFSET(J90,,Drivers!$C$35)</f>
        <v>106.1607143</v>
      </c>
      <c r="K91" s="73">
        <f>OFFSET(K89,,Drivers!$C$35)/OFFSET(K90,,Drivers!$C$35)</f>
        <v>141.547619</v>
      </c>
      <c r="L91" s="73">
        <f>OFFSET(L89,,Drivers!$C$35)/OFFSET(L90,,Drivers!$C$35)</f>
        <v>148.625</v>
      </c>
      <c r="M91" s="73">
        <f>OFFSET(M89,,Drivers!$C$35)/OFFSET(M90,,Drivers!$C$35)</f>
        <v>148.625</v>
      </c>
      <c r="N91" s="73">
        <f>OFFSET(N89,,Drivers!$C$35)/OFFSET(N90,,Drivers!$C$35)</f>
        <v>198.1666667</v>
      </c>
      <c r="O91" s="73">
        <f>OFFSET(O89,,Drivers!$C$35)/OFFSET(O90,,Drivers!$C$35)</f>
        <v>92.25</v>
      </c>
      <c r="P91" s="73">
        <f>OFFSET(P89,,Drivers!$C$35)/OFFSET(P90,,Drivers!$C$35)</f>
        <v>95.91071429</v>
      </c>
      <c r="Q91" s="73">
        <f>OFFSET(Q89,,Drivers!$C$35)/OFFSET(Q90,,Drivers!$C$35)</f>
        <v>132.7619048</v>
      </c>
      <c r="R91" s="73">
        <f>OFFSET(R89,,Drivers!$C$35)/OFFSET(R90,,Drivers!$C$35)</f>
        <v>99.57142857</v>
      </c>
      <c r="S91" s="73">
        <f>OFFSET(S89,,Drivers!$C$35)/OFFSET(S90,,Drivers!$C$35)</f>
        <v>99.57142857</v>
      </c>
      <c r="T91" s="73">
        <f>OFFSET(T89,,Drivers!$C$35)/OFFSET(T90,,Drivers!$C$35)</f>
        <v>132.7619048</v>
      </c>
      <c r="U91" s="73">
        <f>OFFSET(U89,,Drivers!$C$35)/OFFSET(U90,,Drivers!$C$35)</f>
        <v>124.4642857</v>
      </c>
      <c r="V91" s="73">
        <f>OFFSET(V89,,Drivers!$C$35)/OFFSET(V90,,Drivers!$C$35)</f>
        <v>124.4642857</v>
      </c>
      <c r="W91" s="73">
        <f>OFFSET(W89,,Drivers!$C$35)/OFFSET(W90,,Drivers!$C$35)</f>
        <v>165.952381</v>
      </c>
      <c r="X91" s="73">
        <f>OFFSET(X89,,Drivers!$C$35)/OFFSET(X90,,Drivers!$C$35)</f>
        <v>174.25</v>
      </c>
      <c r="Y91" s="73">
        <f>OFFSET(Y89,,Drivers!$C$35)/OFFSET(Y90,,Drivers!$C$35)</f>
        <v>174.25</v>
      </c>
      <c r="Z91" s="73">
        <f>OFFSET(Z89,,Drivers!$C$35)/OFFSET(Z90,,Drivers!$C$35)</f>
        <v>232.3333333</v>
      </c>
      <c r="AA91" s="73" t="str">
        <f>OFFSET(AA89,,Drivers!$C$35)/OFFSET(AA90,,Drivers!$C$35)</f>
        <v>#DIV/0!</v>
      </c>
      <c r="AB91" s="73" t="str">
        <f>OFFSET(AB89,,Drivers!$C$35)/OFFSET(AB90,,Drivers!$C$35)</f>
        <v>#DIV/0!</v>
      </c>
      <c r="AC91" s="73" t="str">
        <f>OFFSET(AC89,,Drivers!$C$35)/OFFSET(AC90,,Drivers!$C$35)</f>
        <v>#DIV/0!</v>
      </c>
      <c r="AD91" s="73" t="str">
        <f>OFFSET(AD89,,Drivers!$C$35)/OFFSET(AD90,,Drivers!$C$35)</f>
        <v>#DIV/0!</v>
      </c>
    </row>
    <row r="92" ht="15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</row>
    <row r="93" ht="15.75" customHeight="1">
      <c r="A93" s="46"/>
      <c r="B93" s="87" t="s">
        <v>74</v>
      </c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</row>
    <row r="94" ht="15.75" customHeight="1">
      <c r="A94" s="46"/>
      <c r="B94" s="91">
        <v>0.2</v>
      </c>
      <c r="C94" s="46" t="s">
        <v>68</v>
      </c>
      <c r="D94" s="46"/>
      <c r="E94" s="46"/>
      <c r="F94" s="46"/>
      <c r="G94" s="88">
        <f t="shared" ref="G94:AD94" si="38">G$73*$B94</f>
        <v>8</v>
      </c>
      <c r="H94" s="88">
        <f t="shared" si="38"/>
        <v>12.26666667</v>
      </c>
      <c r="I94" s="88">
        <f t="shared" si="38"/>
        <v>13.44</v>
      </c>
      <c r="J94" s="88">
        <f t="shared" si="38"/>
        <v>14.56</v>
      </c>
      <c r="K94" s="88">
        <f t="shared" si="38"/>
        <v>20.16</v>
      </c>
      <c r="L94" s="88">
        <f t="shared" si="38"/>
        <v>8.96</v>
      </c>
      <c r="M94" s="88">
        <f t="shared" si="38"/>
        <v>8.96</v>
      </c>
      <c r="N94" s="88">
        <f t="shared" si="38"/>
        <v>11.94666667</v>
      </c>
      <c r="O94" s="88">
        <f t="shared" si="38"/>
        <v>8.96</v>
      </c>
      <c r="P94" s="88">
        <f t="shared" si="38"/>
        <v>8.96</v>
      </c>
      <c r="Q94" s="88">
        <f t="shared" si="38"/>
        <v>11.94666667</v>
      </c>
      <c r="R94" s="88">
        <f t="shared" si="38"/>
        <v>11.2</v>
      </c>
      <c r="S94" s="88">
        <f t="shared" si="38"/>
        <v>11.2</v>
      </c>
      <c r="T94" s="88">
        <f t="shared" si="38"/>
        <v>14.93333333</v>
      </c>
      <c r="U94" s="88">
        <f t="shared" si="38"/>
        <v>15.68</v>
      </c>
      <c r="V94" s="88">
        <f t="shared" si="38"/>
        <v>15.68</v>
      </c>
      <c r="W94" s="88">
        <f t="shared" si="38"/>
        <v>20.90666667</v>
      </c>
      <c r="X94" s="88" t="str">
        <f t="shared" si="38"/>
        <v>#DIV/0!</v>
      </c>
      <c r="Y94" s="88" t="str">
        <f t="shared" si="38"/>
        <v>#DIV/0!</v>
      </c>
      <c r="Z94" s="88" t="str">
        <f t="shared" si="38"/>
        <v>#DIV/0!</v>
      </c>
      <c r="AA94" s="88" t="str">
        <f t="shared" si="38"/>
        <v>#DIV/0!</v>
      </c>
      <c r="AB94" s="88" t="str">
        <f t="shared" si="38"/>
        <v>#DIV/0!</v>
      </c>
      <c r="AC94" s="88" t="str">
        <f t="shared" si="38"/>
        <v>#DIV/0!</v>
      </c>
      <c r="AD94" s="88" t="str">
        <f t="shared" si="38"/>
        <v>#DIV/0!</v>
      </c>
    </row>
    <row r="95" ht="15.75" customHeight="1">
      <c r="A95" s="46"/>
      <c r="B95" s="91">
        <v>0.3</v>
      </c>
      <c r="C95" s="46" t="s">
        <v>69</v>
      </c>
      <c r="D95" s="46"/>
      <c r="E95" s="46"/>
      <c r="F95" s="46"/>
      <c r="G95" s="88">
        <f t="shared" ref="G95:AD95" si="39">G$73*$B95</f>
        <v>12</v>
      </c>
      <c r="H95" s="88">
        <f t="shared" si="39"/>
        <v>18.4</v>
      </c>
      <c r="I95" s="88">
        <f t="shared" si="39"/>
        <v>20.16</v>
      </c>
      <c r="J95" s="88">
        <f t="shared" si="39"/>
        <v>21.84</v>
      </c>
      <c r="K95" s="88">
        <f t="shared" si="39"/>
        <v>30.24</v>
      </c>
      <c r="L95" s="88">
        <f t="shared" si="39"/>
        <v>13.44</v>
      </c>
      <c r="M95" s="88">
        <f t="shared" si="39"/>
        <v>13.44</v>
      </c>
      <c r="N95" s="88">
        <f t="shared" si="39"/>
        <v>17.92</v>
      </c>
      <c r="O95" s="88">
        <f t="shared" si="39"/>
        <v>13.44</v>
      </c>
      <c r="P95" s="88">
        <f t="shared" si="39"/>
        <v>13.44</v>
      </c>
      <c r="Q95" s="88">
        <f t="shared" si="39"/>
        <v>17.92</v>
      </c>
      <c r="R95" s="88">
        <f t="shared" si="39"/>
        <v>16.8</v>
      </c>
      <c r="S95" s="88">
        <f t="shared" si="39"/>
        <v>16.8</v>
      </c>
      <c r="T95" s="88">
        <f t="shared" si="39"/>
        <v>22.4</v>
      </c>
      <c r="U95" s="88">
        <f t="shared" si="39"/>
        <v>23.52</v>
      </c>
      <c r="V95" s="88">
        <f t="shared" si="39"/>
        <v>23.52</v>
      </c>
      <c r="W95" s="88">
        <f t="shared" si="39"/>
        <v>31.36</v>
      </c>
      <c r="X95" s="88" t="str">
        <f t="shared" si="39"/>
        <v>#DIV/0!</v>
      </c>
      <c r="Y95" s="88" t="str">
        <f t="shared" si="39"/>
        <v>#DIV/0!</v>
      </c>
      <c r="Z95" s="88" t="str">
        <f t="shared" si="39"/>
        <v>#DIV/0!</v>
      </c>
      <c r="AA95" s="88" t="str">
        <f t="shared" si="39"/>
        <v>#DIV/0!</v>
      </c>
      <c r="AB95" s="88" t="str">
        <f t="shared" si="39"/>
        <v>#DIV/0!</v>
      </c>
      <c r="AC95" s="88" t="str">
        <f t="shared" si="39"/>
        <v>#DIV/0!</v>
      </c>
      <c r="AD95" s="88" t="str">
        <f t="shared" si="39"/>
        <v>#DIV/0!</v>
      </c>
    </row>
    <row r="96" ht="15.75" customHeight="1">
      <c r="A96" s="46"/>
      <c r="B96" s="91">
        <v>0.4</v>
      </c>
      <c r="C96" s="46" t="s">
        <v>70</v>
      </c>
      <c r="D96" s="46"/>
      <c r="E96" s="46"/>
      <c r="F96" s="46"/>
      <c r="G96" s="88">
        <f t="shared" ref="G96:AD96" si="40">G$73*$B96</f>
        <v>16</v>
      </c>
      <c r="H96" s="88">
        <f t="shared" si="40"/>
        <v>24.53333333</v>
      </c>
      <c r="I96" s="88">
        <f t="shared" si="40"/>
        <v>26.88</v>
      </c>
      <c r="J96" s="88">
        <f t="shared" si="40"/>
        <v>29.12</v>
      </c>
      <c r="K96" s="88">
        <f t="shared" si="40"/>
        <v>40.32</v>
      </c>
      <c r="L96" s="88">
        <f t="shared" si="40"/>
        <v>17.92</v>
      </c>
      <c r="M96" s="88">
        <f t="shared" si="40"/>
        <v>17.92</v>
      </c>
      <c r="N96" s="88">
        <f t="shared" si="40"/>
        <v>23.89333333</v>
      </c>
      <c r="O96" s="88">
        <f t="shared" si="40"/>
        <v>17.92</v>
      </c>
      <c r="P96" s="88">
        <f t="shared" si="40"/>
        <v>17.92</v>
      </c>
      <c r="Q96" s="88">
        <f t="shared" si="40"/>
        <v>23.89333333</v>
      </c>
      <c r="R96" s="88">
        <f t="shared" si="40"/>
        <v>22.4</v>
      </c>
      <c r="S96" s="88">
        <f t="shared" si="40"/>
        <v>22.4</v>
      </c>
      <c r="T96" s="88">
        <f t="shared" si="40"/>
        <v>29.86666667</v>
      </c>
      <c r="U96" s="88">
        <f t="shared" si="40"/>
        <v>31.36</v>
      </c>
      <c r="V96" s="88">
        <f t="shared" si="40"/>
        <v>31.36</v>
      </c>
      <c r="W96" s="88">
        <f t="shared" si="40"/>
        <v>41.81333333</v>
      </c>
      <c r="X96" s="88" t="str">
        <f t="shared" si="40"/>
        <v>#DIV/0!</v>
      </c>
      <c r="Y96" s="88" t="str">
        <f t="shared" si="40"/>
        <v>#DIV/0!</v>
      </c>
      <c r="Z96" s="88" t="str">
        <f t="shared" si="40"/>
        <v>#DIV/0!</v>
      </c>
      <c r="AA96" s="88" t="str">
        <f t="shared" si="40"/>
        <v>#DIV/0!</v>
      </c>
      <c r="AB96" s="88" t="str">
        <f t="shared" si="40"/>
        <v>#DIV/0!</v>
      </c>
      <c r="AC96" s="88" t="str">
        <f t="shared" si="40"/>
        <v>#DIV/0!</v>
      </c>
      <c r="AD96" s="88" t="str">
        <f t="shared" si="40"/>
        <v>#DIV/0!</v>
      </c>
    </row>
    <row r="97" ht="15.75" customHeight="1">
      <c r="A97" s="46"/>
      <c r="B97" s="91">
        <v>0.1</v>
      </c>
      <c r="C97" s="46" t="s">
        <v>71</v>
      </c>
      <c r="D97" s="46"/>
      <c r="E97" s="46"/>
      <c r="F97" s="46"/>
      <c r="G97" s="88">
        <f t="shared" ref="G97:AD97" si="41">G$73*$B97</f>
        <v>4</v>
      </c>
      <c r="H97" s="88">
        <f t="shared" si="41"/>
        <v>6.133333333</v>
      </c>
      <c r="I97" s="88">
        <f t="shared" si="41"/>
        <v>6.72</v>
      </c>
      <c r="J97" s="88">
        <f t="shared" si="41"/>
        <v>7.28</v>
      </c>
      <c r="K97" s="88">
        <f t="shared" si="41"/>
        <v>10.08</v>
      </c>
      <c r="L97" s="88">
        <f t="shared" si="41"/>
        <v>4.48</v>
      </c>
      <c r="M97" s="88">
        <f t="shared" si="41"/>
        <v>4.48</v>
      </c>
      <c r="N97" s="88">
        <f t="shared" si="41"/>
        <v>5.973333333</v>
      </c>
      <c r="O97" s="88">
        <f t="shared" si="41"/>
        <v>4.48</v>
      </c>
      <c r="P97" s="88">
        <f t="shared" si="41"/>
        <v>4.48</v>
      </c>
      <c r="Q97" s="88">
        <f t="shared" si="41"/>
        <v>5.973333333</v>
      </c>
      <c r="R97" s="88">
        <f t="shared" si="41"/>
        <v>5.6</v>
      </c>
      <c r="S97" s="88">
        <f t="shared" si="41"/>
        <v>5.6</v>
      </c>
      <c r="T97" s="88">
        <f t="shared" si="41"/>
        <v>7.466666667</v>
      </c>
      <c r="U97" s="88">
        <f t="shared" si="41"/>
        <v>7.84</v>
      </c>
      <c r="V97" s="88">
        <f t="shared" si="41"/>
        <v>7.84</v>
      </c>
      <c r="W97" s="88">
        <f t="shared" si="41"/>
        <v>10.45333333</v>
      </c>
      <c r="X97" s="88" t="str">
        <f t="shared" si="41"/>
        <v>#DIV/0!</v>
      </c>
      <c r="Y97" s="88" t="str">
        <f t="shared" si="41"/>
        <v>#DIV/0!</v>
      </c>
      <c r="Z97" s="88" t="str">
        <f t="shared" si="41"/>
        <v>#DIV/0!</v>
      </c>
      <c r="AA97" s="88" t="str">
        <f t="shared" si="41"/>
        <v>#DIV/0!</v>
      </c>
      <c r="AB97" s="88" t="str">
        <f t="shared" si="41"/>
        <v>#DIV/0!</v>
      </c>
      <c r="AC97" s="88" t="str">
        <f t="shared" si="41"/>
        <v>#DIV/0!</v>
      </c>
      <c r="AD97" s="88" t="str">
        <f t="shared" si="41"/>
        <v>#DIV/0!</v>
      </c>
    </row>
    <row r="98" ht="15.75" customHeight="1">
      <c r="A98" s="46"/>
      <c r="B98" s="46"/>
      <c r="C98" s="68" t="s">
        <v>72</v>
      </c>
      <c r="D98" s="68"/>
      <c r="E98" s="68"/>
      <c r="F98" s="68"/>
      <c r="G98" s="89">
        <f t="shared" ref="G98:AD98" si="42">SUM(G94:G97)</f>
        <v>40</v>
      </c>
      <c r="H98" s="89">
        <f t="shared" si="42"/>
        <v>61.33333333</v>
      </c>
      <c r="I98" s="89">
        <f t="shared" si="42"/>
        <v>67.2</v>
      </c>
      <c r="J98" s="89">
        <f t="shared" si="42"/>
        <v>72.8</v>
      </c>
      <c r="K98" s="89">
        <f t="shared" si="42"/>
        <v>100.8</v>
      </c>
      <c r="L98" s="89">
        <f t="shared" si="42"/>
        <v>44.8</v>
      </c>
      <c r="M98" s="89">
        <f t="shared" si="42"/>
        <v>44.8</v>
      </c>
      <c r="N98" s="89">
        <f t="shared" si="42"/>
        <v>59.73333333</v>
      </c>
      <c r="O98" s="89">
        <f t="shared" si="42"/>
        <v>44.8</v>
      </c>
      <c r="P98" s="89">
        <f t="shared" si="42"/>
        <v>44.8</v>
      </c>
      <c r="Q98" s="89">
        <f t="shared" si="42"/>
        <v>59.73333333</v>
      </c>
      <c r="R98" s="89">
        <f t="shared" si="42"/>
        <v>56</v>
      </c>
      <c r="S98" s="89">
        <f t="shared" si="42"/>
        <v>56</v>
      </c>
      <c r="T98" s="89">
        <f t="shared" si="42"/>
        <v>74.66666667</v>
      </c>
      <c r="U98" s="89">
        <f t="shared" si="42"/>
        <v>78.4</v>
      </c>
      <c r="V98" s="89">
        <f t="shared" si="42"/>
        <v>78.4</v>
      </c>
      <c r="W98" s="89">
        <f t="shared" si="42"/>
        <v>104.5333333</v>
      </c>
      <c r="X98" s="89" t="str">
        <f t="shared" si="42"/>
        <v>#DIV/0!</v>
      </c>
      <c r="Y98" s="89" t="str">
        <f t="shared" si="42"/>
        <v>#DIV/0!</v>
      </c>
      <c r="Z98" s="89" t="str">
        <f t="shared" si="42"/>
        <v>#DIV/0!</v>
      </c>
      <c r="AA98" s="89" t="str">
        <f t="shared" si="42"/>
        <v>#DIV/0!</v>
      </c>
      <c r="AB98" s="89" t="str">
        <f t="shared" si="42"/>
        <v>#DIV/0!</v>
      </c>
      <c r="AC98" s="89" t="str">
        <f t="shared" si="42"/>
        <v>#DIV/0!</v>
      </c>
      <c r="AD98" s="89" t="str">
        <f t="shared" si="42"/>
        <v>#DIV/0!</v>
      </c>
    </row>
    <row r="99" ht="15.75" customHeight="1">
      <c r="A99" s="46"/>
      <c r="B99" s="90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 ht="15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</row>
    <row r="101" ht="15.75" customHeight="1">
      <c r="A101" s="46"/>
      <c r="B101" s="81" t="s">
        <v>75</v>
      </c>
      <c r="C101" s="82"/>
      <c r="D101" s="82"/>
      <c r="E101" s="82"/>
      <c r="F101" s="82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</row>
    <row r="102" ht="15.75" customHeight="1">
      <c r="A102" s="46"/>
      <c r="B102" s="46"/>
      <c r="C102" s="46" t="s">
        <v>68</v>
      </c>
      <c r="D102" s="46"/>
      <c r="E102" s="46"/>
      <c r="F102" s="46"/>
      <c r="G102" s="88">
        <f t="shared" ref="G102:AD102" si="43">G94+G78</f>
        <v>20</v>
      </c>
      <c r="H102" s="88">
        <f t="shared" si="43"/>
        <v>30.66666667</v>
      </c>
      <c r="I102" s="88">
        <f t="shared" si="43"/>
        <v>33.6</v>
      </c>
      <c r="J102" s="88">
        <f t="shared" si="43"/>
        <v>36.4</v>
      </c>
      <c r="K102" s="88">
        <f t="shared" si="43"/>
        <v>50.4</v>
      </c>
      <c r="L102" s="88">
        <f t="shared" si="43"/>
        <v>22.4</v>
      </c>
      <c r="M102" s="88">
        <f t="shared" si="43"/>
        <v>22.4</v>
      </c>
      <c r="N102" s="88">
        <f t="shared" si="43"/>
        <v>29.86666667</v>
      </c>
      <c r="O102" s="88">
        <f t="shared" si="43"/>
        <v>22.4</v>
      </c>
      <c r="P102" s="88">
        <f t="shared" si="43"/>
        <v>22.4</v>
      </c>
      <c r="Q102" s="88">
        <f t="shared" si="43"/>
        <v>29.86666667</v>
      </c>
      <c r="R102" s="88">
        <f t="shared" si="43"/>
        <v>28</v>
      </c>
      <c r="S102" s="88">
        <f t="shared" si="43"/>
        <v>28</v>
      </c>
      <c r="T102" s="88">
        <f t="shared" si="43"/>
        <v>37.33333333</v>
      </c>
      <c r="U102" s="88">
        <f t="shared" si="43"/>
        <v>39.2</v>
      </c>
      <c r="V102" s="88">
        <f t="shared" si="43"/>
        <v>39.2</v>
      </c>
      <c r="W102" s="88">
        <f t="shared" si="43"/>
        <v>52.26666667</v>
      </c>
      <c r="X102" s="88" t="str">
        <f t="shared" si="43"/>
        <v>#DIV/0!</v>
      </c>
      <c r="Y102" s="88" t="str">
        <f t="shared" si="43"/>
        <v>#DIV/0!</v>
      </c>
      <c r="Z102" s="88" t="str">
        <f t="shared" si="43"/>
        <v>#DIV/0!</v>
      </c>
      <c r="AA102" s="88" t="str">
        <f t="shared" si="43"/>
        <v>#DIV/0!</v>
      </c>
      <c r="AB102" s="88" t="str">
        <f t="shared" si="43"/>
        <v>#DIV/0!</v>
      </c>
      <c r="AC102" s="88" t="str">
        <f t="shared" si="43"/>
        <v>#DIV/0!</v>
      </c>
      <c r="AD102" s="88" t="str">
        <f t="shared" si="43"/>
        <v>#DIV/0!</v>
      </c>
    </row>
    <row r="103" ht="15.75" customHeight="1">
      <c r="A103" s="46"/>
      <c r="B103" s="46"/>
      <c r="C103" s="46" t="s">
        <v>69</v>
      </c>
      <c r="D103" s="46"/>
      <c r="E103" s="46"/>
      <c r="F103" s="46"/>
      <c r="G103" s="88">
        <f t="shared" ref="G103:AD103" si="44">G95+G79</f>
        <v>28</v>
      </c>
      <c r="H103" s="88">
        <f t="shared" si="44"/>
        <v>42.93333333</v>
      </c>
      <c r="I103" s="88">
        <f t="shared" si="44"/>
        <v>47.04</v>
      </c>
      <c r="J103" s="88">
        <f t="shared" si="44"/>
        <v>50.96</v>
      </c>
      <c r="K103" s="88">
        <f t="shared" si="44"/>
        <v>70.56</v>
      </c>
      <c r="L103" s="88">
        <f t="shared" si="44"/>
        <v>31.36</v>
      </c>
      <c r="M103" s="88">
        <f t="shared" si="44"/>
        <v>31.36</v>
      </c>
      <c r="N103" s="88">
        <f t="shared" si="44"/>
        <v>41.81333333</v>
      </c>
      <c r="O103" s="88">
        <f t="shared" si="44"/>
        <v>31.36</v>
      </c>
      <c r="P103" s="88">
        <f t="shared" si="44"/>
        <v>31.36</v>
      </c>
      <c r="Q103" s="88">
        <f t="shared" si="44"/>
        <v>41.81333333</v>
      </c>
      <c r="R103" s="88">
        <f t="shared" si="44"/>
        <v>39.2</v>
      </c>
      <c r="S103" s="88">
        <f t="shared" si="44"/>
        <v>39.2</v>
      </c>
      <c r="T103" s="88">
        <f t="shared" si="44"/>
        <v>52.26666667</v>
      </c>
      <c r="U103" s="88">
        <f t="shared" si="44"/>
        <v>54.88</v>
      </c>
      <c r="V103" s="88">
        <f t="shared" si="44"/>
        <v>54.88</v>
      </c>
      <c r="W103" s="88">
        <f t="shared" si="44"/>
        <v>73.17333333</v>
      </c>
      <c r="X103" s="88" t="str">
        <f t="shared" si="44"/>
        <v>#DIV/0!</v>
      </c>
      <c r="Y103" s="88" t="str">
        <f t="shared" si="44"/>
        <v>#DIV/0!</v>
      </c>
      <c r="Z103" s="88" t="str">
        <f t="shared" si="44"/>
        <v>#DIV/0!</v>
      </c>
      <c r="AA103" s="88" t="str">
        <f t="shared" si="44"/>
        <v>#DIV/0!</v>
      </c>
      <c r="AB103" s="88" t="str">
        <f t="shared" si="44"/>
        <v>#DIV/0!</v>
      </c>
      <c r="AC103" s="88" t="str">
        <f t="shared" si="44"/>
        <v>#DIV/0!</v>
      </c>
      <c r="AD103" s="88" t="str">
        <f t="shared" si="44"/>
        <v>#DIV/0!</v>
      </c>
    </row>
    <row r="104" ht="15.75" customHeight="1">
      <c r="A104" s="46"/>
      <c r="B104" s="46"/>
      <c r="C104" s="46" t="s">
        <v>70</v>
      </c>
      <c r="D104" s="46"/>
      <c r="E104" s="46"/>
      <c r="F104" s="46"/>
      <c r="G104" s="88">
        <f t="shared" ref="G104:AD104" si="45">G96+G80</f>
        <v>22</v>
      </c>
      <c r="H104" s="88">
        <f t="shared" si="45"/>
        <v>33.73333333</v>
      </c>
      <c r="I104" s="88">
        <f t="shared" si="45"/>
        <v>36.96</v>
      </c>
      <c r="J104" s="88">
        <f t="shared" si="45"/>
        <v>40.04</v>
      </c>
      <c r="K104" s="88">
        <f t="shared" si="45"/>
        <v>55.44</v>
      </c>
      <c r="L104" s="88">
        <f t="shared" si="45"/>
        <v>24.64</v>
      </c>
      <c r="M104" s="88">
        <f t="shared" si="45"/>
        <v>24.64</v>
      </c>
      <c r="N104" s="88">
        <f t="shared" si="45"/>
        <v>32.85333333</v>
      </c>
      <c r="O104" s="88">
        <f t="shared" si="45"/>
        <v>24.64</v>
      </c>
      <c r="P104" s="88">
        <f t="shared" si="45"/>
        <v>24.64</v>
      </c>
      <c r="Q104" s="88">
        <f t="shared" si="45"/>
        <v>32.85333333</v>
      </c>
      <c r="R104" s="88">
        <f t="shared" si="45"/>
        <v>30.8</v>
      </c>
      <c r="S104" s="88">
        <f t="shared" si="45"/>
        <v>30.8</v>
      </c>
      <c r="T104" s="88">
        <f t="shared" si="45"/>
        <v>41.06666667</v>
      </c>
      <c r="U104" s="88">
        <f t="shared" si="45"/>
        <v>43.12</v>
      </c>
      <c r="V104" s="88">
        <f t="shared" si="45"/>
        <v>43.12</v>
      </c>
      <c r="W104" s="88">
        <f t="shared" si="45"/>
        <v>57.49333333</v>
      </c>
      <c r="X104" s="88" t="str">
        <f t="shared" si="45"/>
        <v>#DIV/0!</v>
      </c>
      <c r="Y104" s="88" t="str">
        <f t="shared" si="45"/>
        <v>#DIV/0!</v>
      </c>
      <c r="Z104" s="88" t="str">
        <f t="shared" si="45"/>
        <v>#DIV/0!</v>
      </c>
      <c r="AA104" s="88" t="str">
        <f t="shared" si="45"/>
        <v>#DIV/0!</v>
      </c>
      <c r="AB104" s="88" t="str">
        <f t="shared" si="45"/>
        <v>#DIV/0!</v>
      </c>
      <c r="AC104" s="88" t="str">
        <f t="shared" si="45"/>
        <v>#DIV/0!</v>
      </c>
      <c r="AD104" s="88" t="str">
        <f t="shared" si="45"/>
        <v>#DIV/0!</v>
      </c>
    </row>
    <row r="105" ht="15.75" customHeight="1">
      <c r="A105" s="46"/>
      <c r="B105" s="46"/>
      <c r="C105" s="46" t="s">
        <v>71</v>
      </c>
      <c r="D105" s="46"/>
      <c r="E105" s="46"/>
      <c r="F105" s="46"/>
      <c r="G105" s="88">
        <f t="shared" ref="G105:AD105" si="46">G97+G81</f>
        <v>10</v>
      </c>
      <c r="H105" s="88">
        <f t="shared" si="46"/>
        <v>15.33333333</v>
      </c>
      <c r="I105" s="88">
        <f t="shared" si="46"/>
        <v>16.8</v>
      </c>
      <c r="J105" s="88">
        <f t="shared" si="46"/>
        <v>18.2</v>
      </c>
      <c r="K105" s="88">
        <f t="shared" si="46"/>
        <v>25.2</v>
      </c>
      <c r="L105" s="88">
        <f t="shared" si="46"/>
        <v>11.2</v>
      </c>
      <c r="M105" s="88">
        <f t="shared" si="46"/>
        <v>11.2</v>
      </c>
      <c r="N105" s="88">
        <f t="shared" si="46"/>
        <v>14.93333333</v>
      </c>
      <c r="O105" s="88">
        <f t="shared" si="46"/>
        <v>11.2</v>
      </c>
      <c r="P105" s="88">
        <f t="shared" si="46"/>
        <v>11.2</v>
      </c>
      <c r="Q105" s="88">
        <f t="shared" si="46"/>
        <v>14.93333333</v>
      </c>
      <c r="R105" s="88">
        <f t="shared" si="46"/>
        <v>14</v>
      </c>
      <c r="S105" s="88">
        <f t="shared" si="46"/>
        <v>14</v>
      </c>
      <c r="T105" s="88">
        <f t="shared" si="46"/>
        <v>18.66666667</v>
      </c>
      <c r="U105" s="88">
        <f t="shared" si="46"/>
        <v>19.6</v>
      </c>
      <c r="V105" s="88">
        <f t="shared" si="46"/>
        <v>19.6</v>
      </c>
      <c r="W105" s="88">
        <f t="shared" si="46"/>
        <v>26.13333333</v>
      </c>
      <c r="X105" s="88" t="str">
        <f t="shared" si="46"/>
        <v>#DIV/0!</v>
      </c>
      <c r="Y105" s="88" t="str">
        <f t="shared" si="46"/>
        <v>#DIV/0!</v>
      </c>
      <c r="Z105" s="88" t="str">
        <f t="shared" si="46"/>
        <v>#DIV/0!</v>
      </c>
      <c r="AA105" s="88" t="str">
        <f t="shared" si="46"/>
        <v>#DIV/0!</v>
      </c>
      <c r="AB105" s="88" t="str">
        <f t="shared" si="46"/>
        <v>#DIV/0!</v>
      </c>
      <c r="AC105" s="88" t="str">
        <f t="shared" si="46"/>
        <v>#DIV/0!</v>
      </c>
      <c r="AD105" s="88" t="str">
        <f t="shared" si="46"/>
        <v>#DIV/0!</v>
      </c>
    </row>
    <row r="106" ht="15.7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</row>
    <row r="107" ht="15.75" customHeight="1">
      <c r="A107" s="46"/>
      <c r="B107" s="46"/>
      <c r="C107" s="92" t="s">
        <v>72</v>
      </c>
      <c r="D107" s="79"/>
      <c r="E107" s="79"/>
      <c r="F107" s="79"/>
      <c r="G107" s="93">
        <f t="shared" ref="G107:AD107" si="47">SUM(G102:G106)</f>
        <v>80</v>
      </c>
      <c r="H107" s="93">
        <f t="shared" si="47"/>
        <v>122.6666667</v>
      </c>
      <c r="I107" s="93">
        <f t="shared" si="47"/>
        <v>134.4</v>
      </c>
      <c r="J107" s="93">
        <f t="shared" si="47"/>
        <v>145.6</v>
      </c>
      <c r="K107" s="93">
        <f t="shared" si="47"/>
        <v>201.6</v>
      </c>
      <c r="L107" s="93">
        <f t="shared" si="47"/>
        <v>89.6</v>
      </c>
      <c r="M107" s="93">
        <f t="shared" si="47"/>
        <v>89.6</v>
      </c>
      <c r="N107" s="93">
        <f t="shared" si="47"/>
        <v>119.4666667</v>
      </c>
      <c r="O107" s="93">
        <f t="shared" si="47"/>
        <v>89.6</v>
      </c>
      <c r="P107" s="93">
        <f t="shared" si="47"/>
        <v>89.6</v>
      </c>
      <c r="Q107" s="93">
        <f t="shared" si="47"/>
        <v>119.4666667</v>
      </c>
      <c r="R107" s="93">
        <f t="shared" si="47"/>
        <v>112</v>
      </c>
      <c r="S107" s="93">
        <f t="shared" si="47"/>
        <v>112</v>
      </c>
      <c r="T107" s="93">
        <f t="shared" si="47"/>
        <v>149.3333333</v>
      </c>
      <c r="U107" s="93">
        <f t="shared" si="47"/>
        <v>156.8</v>
      </c>
      <c r="V107" s="93">
        <f t="shared" si="47"/>
        <v>156.8</v>
      </c>
      <c r="W107" s="93">
        <f t="shared" si="47"/>
        <v>209.0666667</v>
      </c>
      <c r="X107" s="79" t="str">
        <f t="shared" si="47"/>
        <v>#DIV/0!</v>
      </c>
      <c r="Y107" s="79" t="str">
        <f t="shared" si="47"/>
        <v>#DIV/0!</v>
      </c>
      <c r="Z107" s="79" t="str">
        <f t="shared" si="47"/>
        <v>#DIV/0!</v>
      </c>
      <c r="AA107" s="79" t="str">
        <f t="shared" si="47"/>
        <v>#DIV/0!</v>
      </c>
      <c r="AB107" s="79" t="str">
        <f t="shared" si="47"/>
        <v>#DIV/0!</v>
      </c>
      <c r="AC107" s="79" t="str">
        <f t="shared" si="47"/>
        <v>#DIV/0!</v>
      </c>
      <c r="AD107" s="79" t="str">
        <f t="shared" si="47"/>
        <v>#DIV/0!</v>
      </c>
    </row>
    <row r="108" ht="15.7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</row>
    <row r="109" ht="15.7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</row>
  </sheetData>
  <customSheetViews>
    <customSheetView guid="{34DA7227-989A-45C1-B095-F50D01868573}" filter="1" showAutoFilter="1">
      <autoFilter ref="$B$2:$E$22"/>
      <extLst>
        <ext uri="GoogleSheetsCustomDataVersion1">
          <go:sheetsCustomData xmlns:go="http://customooxmlschemas.google.com/" filterViewId="452514225"/>
        </ext>
      </extLst>
    </customSheetView>
  </customSheetView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25"/>
    <col customWidth="1" min="2" max="2" width="30.13"/>
  </cols>
  <sheetData>
    <row r="1" ht="15.75" customHeight="1">
      <c r="A1" s="87" t="s">
        <v>76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ht="15.7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ht="15.75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ht="15.75" customHeight="1">
      <c r="A4" s="46"/>
      <c r="B4" s="94" t="s">
        <v>77</v>
      </c>
      <c r="C4" s="95" t="s">
        <v>11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ht="15.75" customHeight="1">
      <c r="A5" s="46"/>
      <c r="B5" s="96" t="s">
        <v>39</v>
      </c>
      <c r="C5" s="97">
        <v>1200000.0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ht="15.75" customHeight="1">
      <c r="A6" s="46"/>
      <c r="B6" s="96" t="s">
        <v>42</v>
      </c>
      <c r="C6" s="97">
        <v>600000.0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ht="15.75" customHeight="1">
      <c r="A7" s="46"/>
      <c r="B7" s="98" t="s">
        <v>51</v>
      </c>
      <c r="C7" s="99">
        <v>750000.0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</row>
    <row r="8" ht="15.7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9" ht="15.75" customHeight="1">
      <c r="A9" s="46"/>
      <c r="B9" s="100"/>
      <c r="C9" s="101" t="s">
        <v>78</v>
      </c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2"/>
    </row>
    <row r="10" ht="15.75" customHeight="1">
      <c r="A10" s="46"/>
      <c r="B10" s="94" t="s">
        <v>79</v>
      </c>
      <c r="C10" s="103">
        <v>1.0</v>
      </c>
      <c r="D10" s="103">
        <v>2.0</v>
      </c>
      <c r="E10" s="103">
        <v>3.0</v>
      </c>
      <c r="F10" s="103">
        <v>4.0</v>
      </c>
      <c r="G10" s="103">
        <v>5.0</v>
      </c>
      <c r="H10" s="103">
        <v>6.0</v>
      </c>
      <c r="I10" s="103">
        <v>7.0</v>
      </c>
      <c r="J10" s="103">
        <v>8.0</v>
      </c>
      <c r="K10" s="103">
        <v>9.0</v>
      </c>
      <c r="L10" s="103">
        <v>10.0</v>
      </c>
      <c r="M10" s="103">
        <v>11.0</v>
      </c>
      <c r="N10" s="104">
        <v>12.0</v>
      </c>
    </row>
    <row r="11" ht="15.75" customHeight="1">
      <c r="A11" s="46"/>
      <c r="B11" s="96" t="s">
        <v>39</v>
      </c>
      <c r="C11" s="105">
        <v>0.0</v>
      </c>
      <c r="D11" s="105">
        <v>0.0</v>
      </c>
      <c r="E11" s="105">
        <v>0.0</v>
      </c>
      <c r="F11" s="105">
        <v>0.25</v>
      </c>
      <c r="G11" s="105">
        <v>0.5</v>
      </c>
      <c r="H11" s="105">
        <v>0.5</v>
      </c>
      <c r="I11" s="105">
        <v>0.75</v>
      </c>
      <c r="J11" s="105">
        <v>0.75</v>
      </c>
      <c r="K11" s="105">
        <v>1.0</v>
      </c>
      <c r="L11" s="105">
        <v>1.0</v>
      </c>
      <c r="M11" s="105">
        <v>1.0</v>
      </c>
      <c r="N11" s="106">
        <v>1.0</v>
      </c>
    </row>
    <row r="12" ht="15.75" customHeight="1">
      <c r="A12" s="46"/>
      <c r="B12" s="96" t="s">
        <v>42</v>
      </c>
      <c r="C12" s="105">
        <v>0.0</v>
      </c>
      <c r="D12" s="105">
        <v>0.0</v>
      </c>
      <c r="E12" s="105">
        <v>0.25</v>
      </c>
      <c r="F12" s="105">
        <v>0.5</v>
      </c>
      <c r="G12" s="105">
        <v>0.75</v>
      </c>
      <c r="H12" s="105">
        <v>1.0</v>
      </c>
      <c r="I12" s="105">
        <v>1.0</v>
      </c>
      <c r="J12" s="105">
        <v>1.0</v>
      </c>
      <c r="K12" s="105">
        <v>1.0</v>
      </c>
      <c r="L12" s="105">
        <v>1.0</v>
      </c>
      <c r="M12" s="105">
        <v>1.0</v>
      </c>
      <c r="N12" s="106">
        <v>1.0</v>
      </c>
    </row>
    <row r="13" ht="15.75" customHeight="1">
      <c r="A13" s="46"/>
      <c r="B13" s="98" t="s">
        <v>51</v>
      </c>
      <c r="C13" s="107">
        <v>0.0</v>
      </c>
      <c r="D13" s="107">
        <v>0.0</v>
      </c>
      <c r="E13" s="107">
        <v>0.5</v>
      </c>
      <c r="F13" s="107">
        <v>0.75</v>
      </c>
      <c r="G13" s="107">
        <v>1.0</v>
      </c>
      <c r="H13" s="107">
        <v>1.0</v>
      </c>
      <c r="I13" s="107">
        <v>1.0</v>
      </c>
      <c r="J13" s="107">
        <v>1.0</v>
      </c>
      <c r="K13" s="107">
        <v>1.0</v>
      </c>
      <c r="L13" s="107">
        <v>1.0</v>
      </c>
      <c r="M13" s="107">
        <v>1.0</v>
      </c>
      <c r="N13" s="108">
        <v>1.0</v>
      </c>
    </row>
    <row r="14" ht="15.75" customHeight="1">
      <c r="A14" s="46"/>
      <c r="B14" s="46"/>
      <c r="C14" s="109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</row>
    <row r="15" ht="15.75" customHeight="1">
      <c r="A15" s="46"/>
      <c r="B15" s="110" t="s">
        <v>80</v>
      </c>
      <c r="C15" s="111">
        <v>0.18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</row>
    <row r="16" ht="15.7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</row>
    <row r="17" ht="15.75" customHeight="1">
      <c r="A17" s="46"/>
      <c r="B17" s="94" t="s">
        <v>81</v>
      </c>
      <c r="C17" s="103" t="s">
        <v>82</v>
      </c>
      <c r="D17" s="103" t="s">
        <v>83</v>
      </c>
      <c r="E17" s="103" t="s">
        <v>84</v>
      </c>
      <c r="F17" s="103" t="s">
        <v>85</v>
      </c>
      <c r="G17" s="68"/>
      <c r="H17" s="68"/>
      <c r="I17" s="68"/>
      <c r="J17" s="68"/>
      <c r="K17" s="68"/>
      <c r="L17" s="68"/>
      <c r="M17" s="68"/>
      <c r="N17" s="112"/>
    </row>
    <row r="18" ht="15.75" customHeight="1">
      <c r="A18" s="46"/>
      <c r="B18" s="113"/>
      <c r="C18" s="114">
        <v>0.2</v>
      </c>
      <c r="D18" s="114">
        <v>0.2</v>
      </c>
      <c r="E18" s="114">
        <v>0.25</v>
      </c>
      <c r="F18" s="114">
        <v>0.35</v>
      </c>
      <c r="G18" s="46"/>
      <c r="H18" s="46"/>
      <c r="I18" s="46"/>
      <c r="J18" s="46"/>
      <c r="K18" s="46"/>
      <c r="L18" s="46"/>
      <c r="M18" s="46"/>
      <c r="N18" s="115"/>
    </row>
    <row r="19" ht="15.75" customHeight="1">
      <c r="A19" s="46"/>
      <c r="B19" s="113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115"/>
    </row>
    <row r="20" ht="15.75" customHeight="1">
      <c r="A20" s="46"/>
      <c r="B20" s="113"/>
      <c r="C20" s="116" t="s">
        <v>86</v>
      </c>
      <c r="D20" s="116" t="s">
        <v>87</v>
      </c>
      <c r="E20" s="116" t="s">
        <v>88</v>
      </c>
      <c r="F20" s="117"/>
      <c r="G20" s="117"/>
      <c r="H20" s="117"/>
      <c r="I20" s="117"/>
      <c r="J20" s="117"/>
      <c r="K20" s="117"/>
      <c r="L20" s="117"/>
      <c r="M20" s="117"/>
      <c r="N20" s="118"/>
    </row>
    <row r="21" ht="15.75" customHeight="1">
      <c r="A21" s="46"/>
      <c r="B21" s="113"/>
      <c r="C21" s="114">
        <v>0.3</v>
      </c>
      <c r="D21" s="114">
        <v>0.3</v>
      </c>
      <c r="E21" s="114">
        <v>0.4</v>
      </c>
      <c r="F21" s="114"/>
      <c r="G21" s="117"/>
      <c r="H21" s="117"/>
      <c r="I21" s="117"/>
      <c r="J21" s="117"/>
      <c r="K21" s="117"/>
      <c r="L21" s="117"/>
      <c r="M21" s="117"/>
      <c r="N21" s="118"/>
    </row>
    <row r="22" ht="15.75" customHeight="1">
      <c r="A22" s="46"/>
      <c r="B22" s="113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8"/>
    </row>
    <row r="23" ht="15.75" customHeight="1">
      <c r="A23" s="46"/>
      <c r="B23" s="113"/>
      <c r="C23" s="116" t="s">
        <v>89</v>
      </c>
      <c r="D23" s="116" t="s">
        <v>90</v>
      </c>
      <c r="E23" s="116" t="s">
        <v>91</v>
      </c>
      <c r="F23" s="116" t="s">
        <v>92</v>
      </c>
      <c r="G23" s="116" t="s">
        <v>93</v>
      </c>
      <c r="H23" s="116" t="s">
        <v>94</v>
      </c>
      <c r="I23" s="116" t="s">
        <v>95</v>
      </c>
      <c r="J23" s="116" t="s">
        <v>96</v>
      </c>
      <c r="K23" s="116" t="s">
        <v>97</v>
      </c>
      <c r="L23" s="116" t="s">
        <v>98</v>
      </c>
      <c r="M23" s="116" t="s">
        <v>99</v>
      </c>
      <c r="N23" s="119" t="s">
        <v>100</v>
      </c>
    </row>
    <row r="24" ht="15.75" customHeight="1">
      <c r="A24" s="46"/>
      <c r="B24" s="120"/>
      <c r="C24" s="121">
        <f t="shared" ref="C24:N24" si="1">XLOOKUP(LEFT(C23,2),$C$17:$F$17,$C$18:$F$18)*XLOOKUP(RIGHT(C23,2),$C$20:$E$20,$C$21:$E$21)</f>
        <v>0.06</v>
      </c>
      <c r="D24" s="121">
        <f t="shared" si="1"/>
        <v>0.06</v>
      </c>
      <c r="E24" s="121">
        <f t="shared" si="1"/>
        <v>0.08</v>
      </c>
      <c r="F24" s="121">
        <f t="shared" si="1"/>
        <v>0.06</v>
      </c>
      <c r="G24" s="121">
        <f t="shared" si="1"/>
        <v>0.06</v>
      </c>
      <c r="H24" s="121">
        <f t="shared" si="1"/>
        <v>0.08</v>
      </c>
      <c r="I24" s="121">
        <f t="shared" si="1"/>
        <v>0.075</v>
      </c>
      <c r="J24" s="121">
        <f t="shared" si="1"/>
        <v>0.075</v>
      </c>
      <c r="K24" s="121">
        <f t="shared" si="1"/>
        <v>0.1</v>
      </c>
      <c r="L24" s="121">
        <f t="shared" si="1"/>
        <v>0.105</v>
      </c>
      <c r="M24" s="121">
        <f t="shared" si="1"/>
        <v>0.105</v>
      </c>
      <c r="N24" s="122">
        <f t="shared" si="1"/>
        <v>0.14</v>
      </c>
    </row>
    <row r="25" ht="15.75" customHeight="1">
      <c r="A25" s="46"/>
      <c r="B25" s="46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</row>
    <row r="26" ht="15.75" customHeight="1">
      <c r="A26" s="46"/>
      <c r="B26" s="94" t="s">
        <v>101</v>
      </c>
      <c r="C26" s="124">
        <v>0.1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ht="15.7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</row>
    <row r="28" ht="15.75" customHeight="1">
      <c r="A28" s="46"/>
      <c r="B28" s="94" t="s">
        <v>102</v>
      </c>
      <c r="C28" s="124">
        <v>0.2</v>
      </c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</row>
    <row r="29" ht="15.7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</row>
    <row r="30" ht="15.75" customHeight="1">
      <c r="A30" s="46"/>
      <c r="B30" s="125" t="s">
        <v>103</v>
      </c>
      <c r="C30" s="68"/>
      <c r="D30" s="68"/>
      <c r="E30" s="112"/>
      <c r="F30" s="46"/>
      <c r="G30" s="46"/>
      <c r="H30" s="46"/>
      <c r="I30" s="46"/>
      <c r="J30" s="46"/>
      <c r="K30" s="46"/>
      <c r="L30" s="46"/>
      <c r="M30" s="46"/>
      <c r="N30" s="46"/>
    </row>
    <row r="31" ht="15.75" customHeight="1">
      <c r="A31" s="46"/>
      <c r="B31" s="126" t="s">
        <v>104</v>
      </c>
      <c r="C31" s="127">
        <v>7.0</v>
      </c>
      <c r="D31" s="46" t="s">
        <v>105</v>
      </c>
      <c r="E31" s="115"/>
      <c r="F31" s="46"/>
      <c r="G31" s="46"/>
      <c r="H31" s="46"/>
      <c r="I31" s="46"/>
      <c r="J31" s="46"/>
      <c r="K31" s="46"/>
      <c r="L31" s="46"/>
      <c r="M31" s="46"/>
      <c r="N31" s="46"/>
    </row>
    <row r="32" ht="15.75" customHeight="1">
      <c r="A32" s="46"/>
      <c r="B32" s="126" t="s">
        <v>106</v>
      </c>
      <c r="C32" s="127">
        <v>3.0</v>
      </c>
      <c r="D32" s="46"/>
      <c r="E32" s="115"/>
      <c r="F32" s="46"/>
      <c r="G32" s="46"/>
      <c r="H32" s="46"/>
      <c r="I32" s="46"/>
      <c r="J32" s="46"/>
      <c r="K32" s="46"/>
      <c r="L32" s="46"/>
      <c r="M32" s="46"/>
      <c r="N32" s="46"/>
    </row>
    <row r="33" ht="15.75" customHeight="1">
      <c r="A33" s="46"/>
      <c r="B33" s="113"/>
      <c r="C33" s="46"/>
      <c r="D33" s="46"/>
      <c r="E33" s="115"/>
      <c r="F33" s="46"/>
      <c r="G33" s="46"/>
      <c r="H33" s="46"/>
      <c r="I33" s="46"/>
      <c r="J33" s="46"/>
      <c r="K33" s="46"/>
      <c r="L33" s="46"/>
      <c r="M33" s="46"/>
      <c r="N33" s="46"/>
    </row>
    <row r="34" ht="15.75" customHeight="1">
      <c r="A34" s="46"/>
      <c r="B34" s="126" t="s">
        <v>107</v>
      </c>
      <c r="C34" s="127">
        <v>1.0</v>
      </c>
      <c r="D34" s="46"/>
      <c r="E34" s="115"/>
      <c r="F34" s="46"/>
      <c r="G34" s="46"/>
      <c r="H34" s="46"/>
      <c r="I34" s="46"/>
      <c r="J34" s="46"/>
      <c r="K34" s="46"/>
      <c r="L34" s="46"/>
      <c r="M34" s="46"/>
      <c r="N34" s="46"/>
    </row>
    <row r="35" ht="15.75" customHeight="1">
      <c r="A35" s="46"/>
      <c r="B35" s="128" t="s">
        <v>108</v>
      </c>
      <c r="C35" s="129">
        <v>1.0</v>
      </c>
      <c r="D35" s="130"/>
      <c r="E35" s="131"/>
      <c r="F35" s="46"/>
      <c r="G35" s="46"/>
      <c r="H35" s="46"/>
      <c r="I35" s="46"/>
      <c r="J35" s="46"/>
      <c r="K35" s="46"/>
      <c r="L35" s="46"/>
      <c r="M35" s="46"/>
      <c r="N35" s="46"/>
    </row>
    <row r="36" ht="15.7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</row>
  </sheetData>
  <drawing r:id="rId1"/>
</worksheet>
</file>